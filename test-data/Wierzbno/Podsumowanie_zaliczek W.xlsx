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-3735" yWindow="-60" windowWidth="24240" windowHeight="11190"/>
  </bookViews>
  <sheets>
    <sheet name="Podsumowanie" sheetId="1" r:id="rId1"/>
  </sheets>
  <calcPr calcId="145621"/>
</workbook>
</file>

<file path=xl/calcChain.xml><?xml version="1.0" encoding="utf-8"?>
<calcChain xmlns="http://schemas.openxmlformats.org/spreadsheetml/2006/main">
  <c r="O109" i="1" l="1"/>
  <c r="O123" i="1"/>
  <c r="O107" i="1"/>
  <c r="O234" i="1"/>
  <c r="O232" i="1"/>
  <c r="O218" i="1"/>
  <c r="O216" i="1"/>
  <c r="O204" i="1"/>
  <c r="O202" i="1"/>
  <c r="O200" i="1"/>
  <c r="O188" i="1"/>
  <c r="O186" i="1"/>
  <c r="O184" i="1"/>
  <c r="O28" i="1"/>
  <c r="O24" i="1"/>
  <c r="O26" i="1"/>
  <c r="O10" i="1"/>
  <c r="O8" i="1"/>
  <c r="O171" i="1" l="1"/>
  <c r="O169" i="1"/>
  <c r="O76" i="1"/>
  <c r="O91" i="1" l="1"/>
  <c r="O89" i="1"/>
  <c r="O140" i="1"/>
  <c r="O60" i="1"/>
  <c r="O58" i="1"/>
  <c r="P41" i="1" l="1"/>
  <c r="N241" i="1" l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17" i="1"/>
  <c r="N16" i="1"/>
  <c r="N15" i="1"/>
  <c r="N14" i="1"/>
  <c r="N13" i="1"/>
  <c r="N12" i="1"/>
  <c r="N11" i="1"/>
  <c r="N10" i="1"/>
  <c r="N9" i="1"/>
  <c r="N8" i="1"/>
  <c r="N7" i="1"/>
  <c r="N6" i="1"/>
  <c r="N5" i="1"/>
</calcChain>
</file>

<file path=xl/sharedStrings.xml><?xml version="1.0" encoding="utf-8"?>
<sst xmlns="http://schemas.openxmlformats.org/spreadsheetml/2006/main" count="427" uniqueCount="49">
  <si>
    <t>Podsumowanie zaliczek 2025</t>
  </si>
  <si>
    <t>al. Niepodległości 103 (mieszkalne)</t>
  </si>
  <si>
    <t>Kategoria</t>
  </si>
  <si>
    <t>sty 2025</t>
  </si>
  <si>
    <t>lut 2025</t>
  </si>
  <si>
    <t>mar 2025</t>
  </si>
  <si>
    <t>kwi 2025</t>
  </si>
  <si>
    <t>maj 2025</t>
  </si>
  <si>
    <t>cze 2025</t>
  </si>
  <si>
    <t>lip 2025</t>
  </si>
  <si>
    <t>sie 2025</t>
  </si>
  <si>
    <t>wrz 2025</t>
  </si>
  <si>
    <t>paź 2025</t>
  </si>
  <si>
    <t>lis 2025</t>
  </si>
  <si>
    <t>gru 2025</t>
  </si>
  <si>
    <t>SUMA</t>
  </si>
  <si>
    <t>1. Zaliczka na utrzymanie</t>
  </si>
  <si>
    <t xml:space="preserve">  CO - opłata zmienna</t>
  </si>
  <si>
    <t xml:space="preserve">  CO - opłata stała</t>
  </si>
  <si>
    <t xml:space="preserve">  Ciepła woda - licznik</t>
  </si>
  <si>
    <t xml:space="preserve">  Ciepła woda - ryczałt</t>
  </si>
  <si>
    <t xml:space="preserve">  Zimna woda - licznik</t>
  </si>
  <si>
    <t xml:space="preserve">  Zimna woda - ryczałt</t>
  </si>
  <si>
    <t xml:space="preserve">  Ścieki - licznik</t>
  </si>
  <si>
    <t xml:space="preserve">  Ścieki - ryczałt</t>
  </si>
  <si>
    <t>2. Razem świadczenia</t>
  </si>
  <si>
    <t>3. Odpady komunalne</t>
  </si>
  <si>
    <t>4. Fundusz remontowy</t>
  </si>
  <si>
    <t>RAZEM (zal.+św.+odpady)</t>
  </si>
  <si>
    <t>al. Niepodległości 103 (użytkowe)</t>
  </si>
  <si>
    <t>Bachmacka 6A (mieszkalne)</t>
  </si>
  <si>
    <t>Bukietowa 2 (mieszkalne)</t>
  </si>
  <si>
    <t>F. Joliot-Curie 12 (mieszkalne)</t>
  </si>
  <si>
    <t>F. Joliot-Curie 3 (mieszkalne)</t>
  </si>
  <si>
    <t>F. Joliot-Curie 4 (mieszkalne)</t>
  </si>
  <si>
    <t>Głogowa 26 (mieszkalne)</t>
  </si>
  <si>
    <t>J. Bytnara "Rudego" 14 (mieszkalne)</t>
  </si>
  <si>
    <t>M. Gandhiego 27 (mieszkalne)</t>
  </si>
  <si>
    <t>O. Kolberga 8 (mieszkalne)</t>
  </si>
  <si>
    <t>Puławska 174 (mieszkalne)</t>
  </si>
  <si>
    <t>Pułku AK "Baszta" 2B (mieszkalne)</t>
  </si>
  <si>
    <t>Wołoska 38 (mieszkalne)</t>
  </si>
  <si>
    <t>Wołoska 38 (użytkowe)</t>
  </si>
  <si>
    <t>złe kwoty, niepoliczone ścieki</t>
  </si>
  <si>
    <t>puste. Złe kwpty</t>
  </si>
  <si>
    <t>złe kwoty, brak sumy pozycji licznik cw</t>
  </si>
  <si>
    <t>złe kwoty, brak sumy pozycji zimna woda liczniki i ścieki</t>
  </si>
  <si>
    <t>brak sum</t>
  </si>
  <si>
    <t>nieujeta korekta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</si>
</sst>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zł&quot;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sz val="11"/>
      <color rgb="FF9C0006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/>
    <xf numFmtId="164" fontId="0" fillId="3" borderId="1" xfId="0" applyNumberFormat="1" applyFill="1" applyBorder="1"/>
    <xf numFmtId="164" fontId="3" fillId="3" borderId="1" xfId="0" applyNumberFormat="1" applyFont="1" applyFill="1" applyBorder="1"/>
    <xf numFmtId="0" fontId="3" fillId="0" borderId="1" xfId="0" applyFont="1" applyBorder="1"/>
    <xf numFmtId="164" fontId="0" fillId="0" borderId="1" xfId="0" applyNumberFormat="1" applyBorder="1"/>
    <xf numFmtId="164" fontId="3" fillId="0" borderId="1" xfId="0" applyNumberFormat="1" applyFont="1" applyBorder="1"/>
    <xf numFmtId="164" fontId="0" fillId="4" borderId="1" xfId="0" applyNumberFormat="1" applyFill="1" applyBorder="1"/>
    <xf numFmtId="164" fontId="0" fillId="0" borderId="0" xfId="0" applyNumberFormat="1"/>
    <xf numFmtId="0" fontId="3" fillId="4" borderId="1" xfId="0" applyFont="1" applyFill="1" applyBorder="1"/>
    <xf numFmtId="0" fontId="0" fillId="4" borderId="0" xfId="0" applyFill="1"/>
    <xf numFmtId="164" fontId="3" fillId="4" borderId="1" xfId="0" applyNumberFormat="1" applyFont="1" applyFill="1" applyBorder="1"/>
    <xf numFmtId="2" fontId="0" fillId="0" borderId="0" xfId="0" applyNumberFormat="1"/>
    <xf numFmtId="164" fontId="0" fillId="6" borderId="1" xfId="0" applyNumberFormat="1" applyFill="1" applyBorder="1"/>
    <xf numFmtId="164" fontId="4" fillId="5" borderId="1" xfId="1" applyNumberFormat="1" applyBorder="1"/>
  </cellXfs>
  <cellStyles count="2">
    <cellStyle name="Normalny" xfId="0" builtinId="0"/>
    <cellStyle name="Złe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1"/>
  <sheetViews>
    <sheetView tabSelected="1" topLeftCell="A40" zoomScaleNormal="100" workbookViewId="0">
      <selection activeCell="F43" sqref="F43"/>
    </sheetView>
  </sheetViews>
  <sheetFormatPr defaultRowHeight="15" x14ac:dyDescent="0.25"/>
  <cols>
    <col min="1" max="1" width="36" customWidth="1"/>
    <col min="2" max="13" width="13" customWidth="1"/>
    <col min="14" max="14" width="14" customWidth="1"/>
    <col min="15" max="16" width="10.42578125" bestFit="1" customWidth="1"/>
  </cols>
  <sheetData>
    <row r="1" spans="1:15" ht="18.75" x14ac:dyDescent="0.3">
      <c r="A1" s="1" t="s">
        <v>0</v>
      </c>
    </row>
    <row r="3" spans="1:15" ht="15.75" x14ac:dyDescent="0.25">
      <c r="A3" s="2" t="s">
        <v>1</v>
      </c>
    </row>
    <row r="4" spans="1:15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5" x14ac:dyDescent="0.25">
      <c r="A5" s="5" t="s">
        <v>16</v>
      </c>
      <c r="B5" s="6">
        <v>1417.2</v>
      </c>
      <c r="C5" s="6">
        <v>1417.2</v>
      </c>
      <c r="D5" s="6">
        <v>1417.2</v>
      </c>
      <c r="E5" s="6">
        <v>1417.2</v>
      </c>
      <c r="F5" s="6">
        <v>1417.2</v>
      </c>
      <c r="G5" s="6">
        <v>1417.2</v>
      </c>
      <c r="H5" s="6">
        <v>1417.2</v>
      </c>
      <c r="I5" s="6">
        <v>1417.2</v>
      </c>
      <c r="J5" s="6">
        <v>1417.2</v>
      </c>
      <c r="K5" s="6">
        <v>1417.2</v>
      </c>
      <c r="L5" s="6">
        <v>1417.2</v>
      </c>
      <c r="M5" s="6">
        <v>1417.2</v>
      </c>
      <c r="N5" s="7">
        <f t="shared" ref="N5:N17" si="0">SUM(B5:M5)</f>
        <v>17006.400000000005</v>
      </c>
    </row>
    <row r="6" spans="1:15" x14ac:dyDescent="0.25">
      <c r="A6" s="8" t="s">
        <v>17</v>
      </c>
      <c r="B6" s="9">
        <v>3117.84</v>
      </c>
      <c r="C6" s="9">
        <v>3117.84</v>
      </c>
      <c r="D6" s="9">
        <v>3117.84</v>
      </c>
      <c r="E6" s="9">
        <v>3117.84</v>
      </c>
      <c r="F6" s="9">
        <v>3117.84</v>
      </c>
      <c r="G6" s="9">
        <v>3117.84</v>
      </c>
      <c r="H6" s="9">
        <v>3117.84</v>
      </c>
      <c r="I6" s="9">
        <v>3117.84</v>
      </c>
      <c r="J6" s="9">
        <v>3117.84</v>
      </c>
      <c r="K6" s="9">
        <v>3117.84</v>
      </c>
      <c r="L6" s="9">
        <v>3117.84</v>
      </c>
      <c r="M6" s="9">
        <v>3117.84</v>
      </c>
      <c r="N6" s="10">
        <f t="shared" si="0"/>
        <v>37414.080000000002</v>
      </c>
    </row>
    <row r="7" spans="1:15" x14ac:dyDescent="0.25">
      <c r="A7" s="8" t="s">
        <v>18</v>
      </c>
      <c r="B7" s="9">
        <v>396.82</v>
      </c>
      <c r="C7" s="9">
        <v>396.82</v>
      </c>
      <c r="D7" s="9">
        <v>396.82</v>
      </c>
      <c r="E7" s="9">
        <v>396.82</v>
      </c>
      <c r="F7" s="9">
        <v>396.82</v>
      </c>
      <c r="G7" s="9">
        <v>396.82</v>
      </c>
      <c r="H7" s="9">
        <v>396.82</v>
      </c>
      <c r="I7" s="9">
        <v>396.82</v>
      </c>
      <c r="J7" s="9">
        <v>396.82</v>
      </c>
      <c r="K7" s="9">
        <v>396.82</v>
      </c>
      <c r="L7" s="9">
        <v>396.82</v>
      </c>
      <c r="M7" s="9">
        <v>396.82</v>
      </c>
      <c r="N7" s="10">
        <f t="shared" si="0"/>
        <v>4761.84</v>
      </c>
    </row>
    <row r="8" spans="1:15" x14ac:dyDescent="0.25">
      <c r="A8" s="8" t="s">
        <v>19</v>
      </c>
      <c r="B8" s="9">
        <v>2075.1999999999998</v>
      </c>
      <c r="C8" s="9">
        <v>2015.2</v>
      </c>
      <c r="D8" s="9">
        <v>2015.2</v>
      </c>
      <c r="E8" s="9">
        <v>1618.4</v>
      </c>
      <c r="F8" s="9">
        <v>1816.8</v>
      </c>
      <c r="G8" s="9">
        <v>1816.8</v>
      </c>
      <c r="H8" s="9">
        <v>1816.8</v>
      </c>
      <c r="I8" s="9">
        <v>1816.8</v>
      </c>
      <c r="J8" s="9">
        <v>1816.8</v>
      </c>
      <c r="K8" s="9">
        <v>1816.8</v>
      </c>
      <c r="L8" s="9">
        <v>1816.8</v>
      </c>
      <c r="M8" s="9">
        <v>1816.8</v>
      </c>
      <c r="N8" s="10">
        <f t="shared" si="0"/>
        <v>22258.399999999994</v>
      </c>
      <c r="O8" s="12">
        <f>SUM(H8:M8)</f>
        <v>10900.8</v>
      </c>
    </row>
    <row r="9" spans="1:15" x14ac:dyDescent="0.25">
      <c r="A9" s="8" t="s">
        <v>20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0">
        <f t="shared" si="0"/>
        <v>0</v>
      </c>
    </row>
    <row r="10" spans="1:15" x14ac:dyDescent="0.25">
      <c r="A10" s="8" t="s">
        <v>21</v>
      </c>
      <c r="B10" s="9">
        <v>545.72</v>
      </c>
      <c r="C10" s="9">
        <v>529.42999999999995</v>
      </c>
      <c r="D10" s="9">
        <v>529.42999999999995</v>
      </c>
      <c r="E10" s="9">
        <v>475.13</v>
      </c>
      <c r="F10" s="9">
        <v>502.28</v>
      </c>
      <c r="G10" s="9">
        <v>502.28</v>
      </c>
      <c r="H10" s="9">
        <v>502.28</v>
      </c>
      <c r="I10" s="9">
        <v>545.75</v>
      </c>
      <c r="J10" s="9">
        <v>545.75</v>
      </c>
      <c r="K10" s="9">
        <v>545.75</v>
      </c>
      <c r="L10" s="9">
        <v>545.75</v>
      </c>
      <c r="M10" s="9">
        <v>545.75</v>
      </c>
      <c r="N10" s="10">
        <f t="shared" si="0"/>
        <v>6315.2999999999993</v>
      </c>
      <c r="O10" s="12">
        <f>SUM(H10:M12)</f>
        <v>8160.2999999999993</v>
      </c>
    </row>
    <row r="11" spans="1:15" x14ac:dyDescent="0.25">
      <c r="A11" s="8" t="s">
        <v>22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>
        <f t="shared" si="0"/>
        <v>0</v>
      </c>
    </row>
    <row r="12" spans="1:15" x14ac:dyDescent="0.25">
      <c r="A12" s="8" t="s">
        <v>23</v>
      </c>
      <c r="B12" s="9">
        <v>833.14</v>
      </c>
      <c r="C12" s="9">
        <v>808.27</v>
      </c>
      <c r="D12" s="9">
        <v>808.27</v>
      </c>
      <c r="E12" s="9">
        <v>725.36</v>
      </c>
      <c r="F12" s="9">
        <v>766.82</v>
      </c>
      <c r="G12" s="9">
        <v>766.82</v>
      </c>
      <c r="H12" s="9">
        <v>766.82</v>
      </c>
      <c r="I12" s="9">
        <v>832.49</v>
      </c>
      <c r="J12" s="9">
        <v>832.49</v>
      </c>
      <c r="K12" s="9">
        <v>832.49</v>
      </c>
      <c r="L12" s="9">
        <v>832.49</v>
      </c>
      <c r="M12" s="9">
        <v>832.49</v>
      </c>
      <c r="N12" s="10">
        <f t="shared" si="0"/>
        <v>9637.9499999999989</v>
      </c>
    </row>
    <row r="13" spans="1:15" x14ac:dyDescent="0.25">
      <c r="A13" s="8" t="s">
        <v>24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0">
        <f t="shared" si="0"/>
        <v>0</v>
      </c>
    </row>
    <row r="14" spans="1:15" x14ac:dyDescent="0.25">
      <c r="A14" s="5" t="s">
        <v>25</v>
      </c>
      <c r="B14" s="6">
        <v>6968.72</v>
      </c>
      <c r="C14" s="6">
        <v>6867.56</v>
      </c>
      <c r="D14" s="6">
        <v>6867.56</v>
      </c>
      <c r="E14" s="6">
        <v>6333.55</v>
      </c>
      <c r="F14" s="6">
        <v>6600.56</v>
      </c>
      <c r="G14" s="6">
        <v>6600.56</v>
      </c>
      <c r="H14" s="6">
        <v>6600.56</v>
      </c>
      <c r="I14" s="6">
        <v>6709.7</v>
      </c>
      <c r="J14" s="6">
        <v>6709.7</v>
      </c>
      <c r="K14" s="6">
        <v>6709.7</v>
      </c>
      <c r="L14" s="6">
        <v>6709.7</v>
      </c>
      <c r="M14" s="6">
        <v>6709.7</v>
      </c>
      <c r="N14" s="7">
        <f t="shared" si="0"/>
        <v>80387.569999999978</v>
      </c>
    </row>
    <row r="15" spans="1:15" x14ac:dyDescent="0.25">
      <c r="A15" s="5" t="s">
        <v>26</v>
      </c>
      <c r="B15" s="6">
        <v>720</v>
      </c>
      <c r="C15" s="6">
        <v>720</v>
      </c>
      <c r="D15" s="6">
        <v>720</v>
      </c>
      <c r="E15" s="6">
        <v>600</v>
      </c>
      <c r="F15" s="6">
        <v>660</v>
      </c>
      <c r="G15" s="6">
        <v>660</v>
      </c>
      <c r="H15" s="6">
        <v>660</v>
      </c>
      <c r="I15" s="6">
        <v>660</v>
      </c>
      <c r="J15" s="6">
        <v>660</v>
      </c>
      <c r="K15" s="6">
        <v>660</v>
      </c>
      <c r="L15" s="6">
        <v>660</v>
      </c>
      <c r="M15" s="6">
        <v>660</v>
      </c>
      <c r="N15" s="7">
        <f t="shared" si="0"/>
        <v>8040</v>
      </c>
    </row>
    <row r="16" spans="1:15" x14ac:dyDescent="0.25">
      <c r="A16" s="5" t="s">
        <v>27</v>
      </c>
      <c r="B16" s="6">
        <v>1700.64</v>
      </c>
      <c r="C16" s="6">
        <v>1700.64</v>
      </c>
      <c r="D16" s="6">
        <v>1700.64</v>
      </c>
      <c r="E16" s="6">
        <v>1700.64</v>
      </c>
      <c r="F16" s="6">
        <v>1700.64</v>
      </c>
      <c r="G16" s="6">
        <v>1700.64</v>
      </c>
      <c r="H16" s="6">
        <v>1700.64</v>
      </c>
      <c r="I16" s="6">
        <v>1700.64</v>
      </c>
      <c r="J16" s="6">
        <v>1700.64</v>
      </c>
      <c r="K16" s="6">
        <v>1700.64</v>
      </c>
      <c r="L16" s="6">
        <v>1700.64</v>
      </c>
      <c r="M16" s="6">
        <v>1700.64</v>
      </c>
      <c r="N16" s="7">
        <f t="shared" si="0"/>
        <v>20407.679999999997</v>
      </c>
    </row>
    <row r="17" spans="1:15" x14ac:dyDescent="0.25">
      <c r="A17" s="5" t="s">
        <v>28</v>
      </c>
      <c r="B17" s="6">
        <v>10806.56</v>
      </c>
      <c r="C17" s="6">
        <v>10705.4</v>
      </c>
      <c r="D17" s="6">
        <v>10705.4</v>
      </c>
      <c r="E17" s="6">
        <v>10051.39</v>
      </c>
      <c r="F17" s="6">
        <v>660</v>
      </c>
      <c r="G17" s="6">
        <v>660</v>
      </c>
      <c r="H17" s="6">
        <v>10065.49</v>
      </c>
      <c r="I17" s="6">
        <v>10487.54</v>
      </c>
      <c r="J17" s="6">
        <v>10487.54</v>
      </c>
      <c r="K17" s="6">
        <v>660</v>
      </c>
      <c r="L17" s="6">
        <v>10487.54</v>
      </c>
      <c r="M17" s="6">
        <v>10487.54</v>
      </c>
      <c r="N17" s="7">
        <f t="shared" si="0"/>
        <v>96264.400000000023</v>
      </c>
    </row>
    <row r="19" spans="1:15" ht="15.75" x14ac:dyDescent="0.25">
      <c r="A19" s="2" t="s">
        <v>29</v>
      </c>
    </row>
    <row r="20" spans="1:15" x14ac:dyDescent="0.25">
      <c r="A20" s="3" t="s">
        <v>2</v>
      </c>
      <c r="B20" s="4" t="s">
        <v>3</v>
      </c>
      <c r="C20" s="4" t="s">
        <v>4</v>
      </c>
      <c r="D20" s="4" t="s">
        <v>5</v>
      </c>
      <c r="E20" s="4" t="s">
        <v>6</v>
      </c>
      <c r="F20" s="4" t="s">
        <v>7</v>
      </c>
      <c r="G20" s="4" t="s">
        <v>8</v>
      </c>
      <c r="H20" s="4" t="s">
        <v>9</v>
      </c>
      <c r="I20" s="4" t="s">
        <v>10</v>
      </c>
      <c r="J20" s="4" t="s">
        <v>11</v>
      </c>
      <c r="K20" s="4" t="s">
        <v>12</v>
      </c>
      <c r="L20" s="4" t="s">
        <v>13</v>
      </c>
      <c r="M20" s="4" t="s">
        <v>14</v>
      </c>
      <c r="N20" s="4" t="s">
        <v>15</v>
      </c>
    </row>
    <row r="21" spans="1:15" x14ac:dyDescent="0.25">
      <c r="A21" s="5" t="s">
        <v>16</v>
      </c>
      <c r="B21" s="6">
        <v>532.38</v>
      </c>
      <c r="C21" s="6">
        <v>532.38</v>
      </c>
      <c r="D21" s="6">
        <v>532.38</v>
      </c>
      <c r="E21" s="6">
        <v>532.38</v>
      </c>
      <c r="F21" s="6">
        <v>532.38</v>
      </c>
      <c r="G21" s="6">
        <v>532.38</v>
      </c>
      <c r="H21" s="6">
        <v>532.38</v>
      </c>
      <c r="I21" s="6">
        <v>532.38</v>
      </c>
      <c r="J21" s="6">
        <v>532.38</v>
      </c>
      <c r="K21" s="6">
        <v>532.38</v>
      </c>
      <c r="L21" s="6">
        <v>532.38</v>
      </c>
      <c r="M21" s="6">
        <v>532.38</v>
      </c>
      <c r="N21" s="7">
        <f t="shared" ref="N21:N33" si="1">SUM(B21:M21)</f>
        <v>6388.56</v>
      </c>
    </row>
    <row r="22" spans="1:15" x14ac:dyDescent="0.25">
      <c r="A22" s="8" t="s">
        <v>17</v>
      </c>
      <c r="B22" s="9">
        <v>1171.23</v>
      </c>
      <c r="C22" s="9">
        <v>1171.23</v>
      </c>
      <c r="D22" s="9">
        <v>1171.23</v>
      </c>
      <c r="E22" s="9">
        <v>1171.23</v>
      </c>
      <c r="F22" s="9">
        <v>1171.23</v>
      </c>
      <c r="G22" s="9">
        <v>1171.23</v>
      </c>
      <c r="H22" s="9">
        <v>1171.23</v>
      </c>
      <c r="I22" s="9">
        <v>1171.23</v>
      </c>
      <c r="J22" s="9">
        <v>1171.23</v>
      </c>
      <c r="K22" s="9">
        <v>1171.23</v>
      </c>
      <c r="L22" s="9">
        <v>1171.23</v>
      </c>
      <c r="M22" s="9">
        <v>1171.23</v>
      </c>
      <c r="N22" s="10">
        <f t="shared" si="1"/>
        <v>14054.759999999997</v>
      </c>
    </row>
    <row r="23" spans="1:15" x14ac:dyDescent="0.25">
      <c r="A23" s="8" t="s">
        <v>18</v>
      </c>
      <c r="B23" s="9">
        <v>149.07</v>
      </c>
      <c r="C23" s="9">
        <v>149.07</v>
      </c>
      <c r="D23" s="9">
        <v>149.07</v>
      </c>
      <c r="E23" s="9">
        <v>149.07</v>
      </c>
      <c r="F23" s="9">
        <v>149.07</v>
      </c>
      <c r="G23" s="9">
        <v>149.07</v>
      </c>
      <c r="H23" s="9">
        <v>149.07</v>
      </c>
      <c r="I23" s="9">
        <v>149.07</v>
      </c>
      <c r="J23" s="9">
        <v>149.07</v>
      </c>
      <c r="K23" s="9">
        <v>149.07</v>
      </c>
      <c r="L23" s="9">
        <v>149.07</v>
      </c>
      <c r="M23" s="9">
        <v>149.07</v>
      </c>
      <c r="N23" s="10">
        <f t="shared" si="1"/>
        <v>1788.8399999999995</v>
      </c>
    </row>
    <row r="24" spans="1:15" x14ac:dyDescent="0.25">
      <c r="A24" s="8" t="s">
        <v>19</v>
      </c>
      <c r="B24" s="9">
        <v>40</v>
      </c>
      <c r="C24" s="9">
        <v>40</v>
      </c>
      <c r="D24" s="9">
        <v>40</v>
      </c>
      <c r="E24" s="9">
        <v>40</v>
      </c>
      <c r="F24" s="9">
        <v>40</v>
      </c>
      <c r="G24" s="9">
        <v>40</v>
      </c>
      <c r="H24" s="9">
        <v>40</v>
      </c>
      <c r="I24" s="9">
        <v>40</v>
      </c>
      <c r="J24" s="9">
        <v>40</v>
      </c>
      <c r="K24" s="9">
        <v>40</v>
      </c>
      <c r="L24" s="9">
        <v>40</v>
      </c>
      <c r="M24" s="9">
        <v>40</v>
      </c>
      <c r="N24" s="10">
        <f t="shared" si="1"/>
        <v>480</v>
      </c>
      <c r="O24" s="12">
        <f>SUM(H24:M24)</f>
        <v>240</v>
      </c>
    </row>
    <row r="25" spans="1:15" x14ac:dyDescent="0.25">
      <c r="A25" s="8" t="s">
        <v>20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0">
        <f t="shared" si="1"/>
        <v>0</v>
      </c>
    </row>
    <row r="26" spans="1:15" x14ac:dyDescent="0.25">
      <c r="A26" s="8" t="s">
        <v>21</v>
      </c>
      <c r="B26" s="9">
        <v>108.6</v>
      </c>
      <c r="C26" s="9">
        <v>108.6</v>
      </c>
      <c r="D26" s="9">
        <v>108.6</v>
      </c>
      <c r="E26" s="9">
        <v>108.6</v>
      </c>
      <c r="F26" s="9">
        <v>108.6</v>
      </c>
      <c r="G26" s="9">
        <v>108.6</v>
      </c>
      <c r="H26" s="9">
        <v>108.6</v>
      </c>
      <c r="I26" s="9">
        <v>118</v>
      </c>
      <c r="J26" s="9">
        <v>118</v>
      </c>
      <c r="K26" s="9">
        <v>118</v>
      </c>
      <c r="L26" s="9">
        <v>118</v>
      </c>
      <c r="M26" s="9">
        <v>118</v>
      </c>
      <c r="N26" s="10">
        <f t="shared" si="1"/>
        <v>1350.2</v>
      </c>
      <c r="O26" s="12">
        <f>SUM(H26:M26)</f>
        <v>698.6</v>
      </c>
    </row>
    <row r="27" spans="1:15" x14ac:dyDescent="0.25">
      <c r="A27" s="8" t="s">
        <v>22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>
        <f t="shared" si="1"/>
        <v>0</v>
      </c>
    </row>
    <row r="28" spans="1:15" x14ac:dyDescent="0.25">
      <c r="A28" s="8" t="s">
        <v>23</v>
      </c>
      <c r="B28" s="9">
        <v>165.8</v>
      </c>
      <c r="C28" s="9">
        <v>165.8</v>
      </c>
      <c r="D28" s="9">
        <v>165.8</v>
      </c>
      <c r="E28" s="9">
        <v>165.8</v>
      </c>
      <c r="F28" s="9">
        <v>165.8</v>
      </c>
      <c r="G28" s="9">
        <v>165.8</v>
      </c>
      <c r="H28" s="9">
        <v>165.8</v>
      </c>
      <c r="I28" s="9">
        <v>180</v>
      </c>
      <c r="J28" s="9">
        <v>180</v>
      </c>
      <c r="K28" s="9">
        <v>180</v>
      </c>
      <c r="L28" s="9">
        <v>180</v>
      </c>
      <c r="M28" s="9">
        <v>180</v>
      </c>
      <c r="N28" s="10">
        <f t="shared" si="1"/>
        <v>2060.6</v>
      </c>
      <c r="O28" s="12">
        <f>SUM(H26:M28)</f>
        <v>1764.4</v>
      </c>
    </row>
    <row r="29" spans="1:15" x14ac:dyDescent="0.25">
      <c r="A29" s="8" t="s">
        <v>24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10">
        <f t="shared" si="1"/>
        <v>0</v>
      </c>
    </row>
    <row r="30" spans="1:15" x14ac:dyDescent="0.25">
      <c r="A30" s="5" t="s">
        <v>25</v>
      </c>
      <c r="B30" s="6">
        <v>1634.7</v>
      </c>
      <c r="C30" s="6">
        <v>1634.7</v>
      </c>
      <c r="D30" s="6">
        <v>1634.7</v>
      </c>
      <c r="E30" s="6">
        <v>1634.7</v>
      </c>
      <c r="F30" s="6">
        <v>1634.7</v>
      </c>
      <c r="G30" s="6">
        <v>1634.7</v>
      </c>
      <c r="H30" s="6">
        <v>1634.7</v>
      </c>
      <c r="I30" s="6">
        <v>2736.3</v>
      </c>
      <c r="J30" s="6">
        <v>1658.3</v>
      </c>
      <c r="K30" s="6">
        <v>1658.3</v>
      </c>
      <c r="L30" s="6">
        <v>1658.3</v>
      </c>
      <c r="M30" s="6">
        <v>1658.3</v>
      </c>
      <c r="N30" s="7">
        <f t="shared" si="1"/>
        <v>20812.399999999998</v>
      </c>
    </row>
    <row r="31" spans="1:15" x14ac:dyDescent="0.25">
      <c r="A31" s="5" t="s">
        <v>26</v>
      </c>
      <c r="B31" s="6">
        <v>341.14</v>
      </c>
      <c r="C31" s="6">
        <v>341.14</v>
      </c>
      <c r="D31" s="6">
        <v>341.14</v>
      </c>
      <c r="E31" s="6">
        <v>341.14</v>
      </c>
      <c r="F31" s="6">
        <v>341.14</v>
      </c>
      <c r="G31" s="6">
        <v>341.14</v>
      </c>
      <c r="H31" s="6">
        <v>341.14</v>
      </c>
      <c r="I31" s="6">
        <v>341.14</v>
      </c>
      <c r="J31" s="6">
        <v>341.14</v>
      </c>
      <c r="K31" s="6">
        <v>341.14</v>
      </c>
      <c r="L31" s="6">
        <v>341.14</v>
      </c>
      <c r="M31" s="6">
        <v>341.14</v>
      </c>
      <c r="N31" s="7">
        <f t="shared" si="1"/>
        <v>4093.6799999999989</v>
      </c>
    </row>
    <row r="32" spans="1:15" x14ac:dyDescent="0.25">
      <c r="A32" s="5" t="s">
        <v>27</v>
      </c>
      <c r="B32" s="6">
        <v>638.85</v>
      </c>
      <c r="C32" s="6">
        <v>638.85</v>
      </c>
      <c r="D32" s="6">
        <v>638.85</v>
      </c>
      <c r="E32" s="6">
        <v>638.85</v>
      </c>
      <c r="F32" s="6">
        <v>638.85</v>
      </c>
      <c r="G32" s="6">
        <v>638.85</v>
      </c>
      <c r="H32" s="6">
        <v>638.85</v>
      </c>
      <c r="I32" s="6">
        <v>638.85</v>
      </c>
      <c r="J32" s="6">
        <v>638.85</v>
      </c>
      <c r="K32" s="6">
        <v>638.85</v>
      </c>
      <c r="L32" s="6">
        <v>638.85</v>
      </c>
      <c r="M32" s="6">
        <v>638.85</v>
      </c>
      <c r="N32" s="7">
        <f t="shared" si="1"/>
        <v>7666.2000000000016</v>
      </c>
    </row>
    <row r="33" spans="1:16" x14ac:dyDescent="0.25">
      <c r="A33" s="5" t="s">
        <v>28</v>
      </c>
      <c r="B33" s="6">
        <v>3147.07</v>
      </c>
      <c r="C33" s="6">
        <v>3147.07</v>
      </c>
      <c r="D33" s="6">
        <v>3147.07</v>
      </c>
      <c r="E33" s="6">
        <v>3147.07</v>
      </c>
      <c r="F33" s="6">
        <v>341.14</v>
      </c>
      <c r="G33" s="6">
        <v>410.77</v>
      </c>
      <c r="H33" s="6">
        <v>410.77</v>
      </c>
      <c r="I33" s="6">
        <v>5906.97</v>
      </c>
      <c r="J33" s="6">
        <v>3170.67</v>
      </c>
      <c r="K33" s="6">
        <v>1753.9</v>
      </c>
      <c r="L33" s="6">
        <v>3170.67</v>
      </c>
      <c r="M33" s="6">
        <v>3170.67</v>
      </c>
      <c r="N33" s="7">
        <f t="shared" si="1"/>
        <v>30923.839999999997</v>
      </c>
    </row>
    <row r="35" spans="1:16" ht="15.75" x14ac:dyDescent="0.25">
      <c r="A35" s="2" t="s">
        <v>30</v>
      </c>
    </row>
    <row r="36" spans="1:16" x14ac:dyDescent="0.25">
      <c r="A36" s="3" t="s">
        <v>2</v>
      </c>
      <c r="B36" s="4" t="s">
        <v>3</v>
      </c>
      <c r="C36" s="4" t="s">
        <v>4</v>
      </c>
      <c r="D36" s="4" t="s">
        <v>5</v>
      </c>
      <c r="E36" s="4" t="s">
        <v>6</v>
      </c>
      <c r="F36" s="4" t="s">
        <v>7</v>
      </c>
      <c r="G36" s="4" t="s">
        <v>8</v>
      </c>
      <c r="H36" s="4" t="s">
        <v>9</v>
      </c>
      <c r="I36" s="4" t="s">
        <v>10</v>
      </c>
      <c r="J36" s="4" t="s">
        <v>11</v>
      </c>
      <c r="K36" s="4" t="s">
        <v>12</v>
      </c>
      <c r="L36" s="4" t="s">
        <v>13</v>
      </c>
      <c r="M36" s="4" t="s">
        <v>14</v>
      </c>
      <c r="N36" s="4" t="s">
        <v>15</v>
      </c>
    </row>
    <row r="37" spans="1:16" x14ac:dyDescent="0.25">
      <c r="A37" s="5" t="s">
        <v>16</v>
      </c>
      <c r="B37" s="6">
        <v>1916.54</v>
      </c>
      <c r="C37" s="6">
        <v>1916.54</v>
      </c>
      <c r="D37" s="6">
        <v>1916.54</v>
      </c>
      <c r="E37" s="6">
        <v>1916.54</v>
      </c>
      <c r="F37" s="6">
        <v>1916.54</v>
      </c>
      <c r="G37" s="6">
        <v>1916.54</v>
      </c>
      <c r="H37" s="6">
        <v>1916.54</v>
      </c>
      <c r="I37" s="6">
        <v>1916.54</v>
      </c>
      <c r="J37" s="6">
        <v>1916.54</v>
      </c>
      <c r="K37" s="6">
        <v>1916.54</v>
      </c>
      <c r="L37" s="6">
        <v>1916.54</v>
      </c>
      <c r="M37" s="6">
        <v>1916.54</v>
      </c>
      <c r="N37" s="7">
        <f t="shared" ref="N37:N49" si="2">SUM(B37:M37)</f>
        <v>22998.480000000007</v>
      </c>
    </row>
    <row r="38" spans="1:16" x14ac:dyDescent="0.25">
      <c r="A38" s="8" t="s">
        <v>17</v>
      </c>
      <c r="B38" s="9">
        <v>3093.1</v>
      </c>
      <c r="C38" s="9">
        <v>3093.1</v>
      </c>
      <c r="D38" s="9">
        <v>3093.1</v>
      </c>
      <c r="E38" s="9">
        <v>3093.1</v>
      </c>
      <c r="F38" s="9">
        <v>3093.1</v>
      </c>
      <c r="G38" s="9">
        <v>3093.1</v>
      </c>
      <c r="H38" s="9">
        <v>3093.1</v>
      </c>
      <c r="I38" s="9">
        <v>3093.1</v>
      </c>
      <c r="J38" s="9">
        <v>3093.1</v>
      </c>
      <c r="K38" s="9">
        <v>3093.1</v>
      </c>
      <c r="L38" s="9">
        <v>3093.1</v>
      </c>
      <c r="M38" s="9">
        <v>3093.1</v>
      </c>
      <c r="N38" s="10">
        <f t="shared" si="2"/>
        <v>37117.19999999999</v>
      </c>
    </row>
    <row r="39" spans="1:16" x14ac:dyDescent="0.25">
      <c r="A39" s="8" t="s">
        <v>18</v>
      </c>
      <c r="B39" s="9">
        <v>433.03</v>
      </c>
      <c r="C39" s="9">
        <v>433.03</v>
      </c>
      <c r="D39" s="9">
        <v>433.03</v>
      </c>
      <c r="E39" s="9">
        <v>433.03</v>
      </c>
      <c r="F39" s="9">
        <v>433.03</v>
      </c>
      <c r="G39" s="9">
        <v>433.03</v>
      </c>
      <c r="H39" s="9">
        <v>433.03</v>
      </c>
      <c r="I39" s="9">
        <v>433.03</v>
      </c>
      <c r="J39" s="9">
        <v>433.03</v>
      </c>
      <c r="K39" s="9">
        <v>433.03</v>
      </c>
      <c r="L39" s="9">
        <v>433.03</v>
      </c>
      <c r="M39" s="9">
        <v>433.03</v>
      </c>
      <c r="N39" s="10">
        <f t="shared" si="2"/>
        <v>5196.3599999999979</v>
      </c>
    </row>
    <row r="40" spans="1:16" x14ac:dyDescent="0.25">
      <c r="A40" s="8" t="s">
        <v>19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>
        <f t="shared" si="2"/>
        <v>0</v>
      </c>
    </row>
    <row r="41" spans="1:16" x14ac:dyDescent="0.25">
      <c r="A41" s="8" t="s">
        <v>20</v>
      </c>
      <c r="B41" s="18">
        <v>2720</v>
      </c>
      <c r="C41" s="9">
        <v>2720</v>
      </c>
      <c r="D41" s="9">
        <v>2560</v>
      </c>
      <c r="E41" s="9">
        <v>2560</v>
      </c>
      <c r="F41" s="9">
        <v>2560</v>
      </c>
      <c r="G41" s="9">
        <v>2400</v>
      </c>
      <c r="H41" s="9">
        <v>2480</v>
      </c>
      <c r="I41" s="9">
        <v>2480</v>
      </c>
      <c r="J41" s="9">
        <v>2320</v>
      </c>
      <c r="K41" s="18">
        <v>2320</v>
      </c>
      <c r="L41" s="9">
        <v>2320</v>
      </c>
      <c r="M41" s="9">
        <v>2320</v>
      </c>
      <c r="N41" s="10">
        <f t="shared" si="2"/>
        <v>29760</v>
      </c>
      <c r="O41" t="s">
        <v>44</v>
      </c>
      <c r="P41" s="12">
        <f>SUM(H41:M41)</f>
        <v>14240</v>
      </c>
    </row>
    <row r="42" spans="1:16" x14ac:dyDescent="0.25">
      <c r="A42" s="8" t="s">
        <v>21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>
        <f t="shared" si="2"/>
        <v>0</v>
      </c>
    </row>
    <row r="43" spans="1:16" x14ac:dyDescent="0.25">
      <c r="A43" s="8" t="s">
        <v>22</v>
      </c>
      <c r="B43" s="11">
        <v>537.57000000000005</v>
      </c>
      <c r="C43" s="11">
        <v>613.59</v>
      </c>
      <c r="D43" s="11">
        <v>580.01</v>
      </c>
      <c r="E43" s="11">
        <v>580.01</v>
      </c>
      <c r="F43" s="11">
        <v>581.01</v>
      </c>
      <c r="G43" s="11">
        <v>548.42999999999995</v>
      </c>
      <c r="H43" s="11">
        <v>564.72</v>
      </c>
      <c r="I43" s="11">
        <v>613.6</v>
      </c>
      <c r="J43" s="11">
        <v>578.20000000000005</v>
      </c>
      <c r="K43" s="11">
        <v>495.6</v>
      </c>
      <c r="L43" s="11">
        <v>578.20000000000005</v>
      </c>
      <c r="M43" s="11">
        <v>578.20000000000005</v>
      </c>
      <c r="N43" s="10">
        <f>SUM(B43:M43)</f>
        <v>6849.14</v>
      </c>
      <c r="O43" t="s">
        <v>43</v>
      </c>
    </row>
    <row r="44" spans="1:16" x14ac:dyDescent="0.25">
      <c r="A44" s="8" t="s">
        <v>23</v>
      </c>
      <c r="B44" s="9">
        <v>820.71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>
        <f t="shared" si="2"/>
        <v>820.71</v>
      </c>
    </row>
    <row r="45" spans="1:16" x14ac:dyDescent="0.25">
      <c r="A45" s="8" t="s">
        <v>24</v>
      </c>
      <c r="B45" s="9"/>
      <c r="C45" s="9">
        <v>936.77</v>
      </c>
      <c r="D45" s="9">
        <v>887.03</v>
      </c>
      <c r="E45" s="9">
        <v>887.03</v>
      </c>
      <c r="F45" s="9">
        <v>887.03</v>
      </c>
      <c r="G45" s="9">
        <v>837.51</v>
      </c>
      <c r="H45" s="9">
        <v>862.16</v>
      </c>
      <c r="I45" s="9">
        <v>936</v>
      </c>
      <c r="J45" s="9">
        <v>882</v>
      </c>
      <c r="K45" s="9">
        <v>756</v>
      </c>
      <c r="L45" s="9">
        <v>882</v>
      </c>
      <c r="M45" s="9">
        <v>882</v>
      </c>
      <c r="N45" s="10">
        <f t="shared" si="2"/>
        <v>9635.5299999999988</v>
      </c>
    </row>
    <row r="46" spans="1:16" x14ac:dyDescent="0.25">
      <c r="A46" s="5" t="s">
        <v>25</v>
      </c>
      <c r="B46" s="6">
        <v>7796.49</v>
      </c>
      <c r="C46" s="6">
        <v>7796.49</v>
      </c>
      <c r="D46" s="6">
        <v>7554.17</v>
      </c>
      <c r="E46" s="6">
        <v>7554.17</v>
      </c>
      <c r="F46" s="6">
        <v>7554.17</v>
      </c>
      <c r="G46" s="6">
        <v>7311.85</v>
      </c>
      <c r="H46" s="6">
        <v>7433.01</v>
      </c>
      <c r="I46" s="6">
        <v>7555.73</v>
      </c>
      <c r="J46" s="6">
        <v>7306.33</v>
      </c>
      <c r="K46" s="6">
        <v>7306.33</v>
      </c>
      <c r="L46" s="6">
        <v>5543.8</v>
      </c>
      <c r="M46" s="6">
        <v>7306.33</v>
      </c>
      <c r="N46" s="7">
        <f t="shared" si="2"/>
        <v>88018.87000000001</v>
      </c>
    </row>
    <row r="47" spans="1:16" x14ac:dyDescent="0.25">
      <c r="A47" s="5" t="s">
        <v>26</v>
      </c>
      <c r="B47" s="6">
        <v>900</v>
      </c>
      <c r="C47" s="6">
        <v>900</v>
      </c>
      <c r="D47" s="6">
        <v>840</v>
      </c>
      <c r="E47" s="6">
        <v>840</v>
      </c>
      <c r="F47" s="6">
        <v>840</v>
      </c>
      <c r="G47" s="6">
        <v>840</v>
      </c>
      <c r="H47" s="6">
        <v>840</v>
      </c>
      <c r="I47" s="6">
        <v>840</v>
      </c>
      <c r="J47" s="6">
        <v>840</v>
      </c>
      <c r="K47" s="6">
        <v>840</v>
      </c>
      <c r="L47" s="6">
        <v>840</v>
      </c>
      <c r="M47" s="6">
        <v>840</v>
      </c>
      <c r="N47" s="7">
        <f t="shared" si="2"/>
        <v>10200</v>
      </c>
    </row>
    <row r="48" spans="1:16" x14ac:dyDescent="0.25">
      <c r="A48" s="5" t="s">
        <v>27</v>
      </c>
      <c r="B48" s="6">
        <v>898.38</v>
      </c>
      <c r="C48" s="6">
        <v>898.38</v>
      </c>
      <c r="D48" s="6">
        <v>898.38</v>
      </c>
      <c r="E48" s="6">
        <v>898.38</v>
      </c>
      <c r="F48" s="6">
        <v>898.38</v>
      </c>
      <c r="G48" s="6">
        <v>898.38</v>
      </c>
      <c r="H48" s="6">
        <v>898.38</v>
      </c>
      <c r="I48" s="6">
        <v>898.38</v>
      </c>
      <c r="J48" s="6">
        <v>898.38</v>
      </c>
      <c r="K48" s="6">
        <v>898.38</v>
      </c>
      <c r="L48" s="6">
        <v>898.38</v>
      </c>
      <c r="M48" s="6">
        <v>898.38</v>
      </c>
      <c r="N48" s="7">
        <f t="shared" si="2"/>
        <v>10780.559999999998</v>
      </c>
    </row>
    <row r="49" spans="1:16" x14ac:dyDescent="0.25">
      <c r="A49" s="5" t="s">
        <v>28</v>
      </c>
      <c r="B49" s="6">
        <v>11511.41</v>
      </c>
      <c r="C49" s="6">
        <v>11511.41</v>
      </c>
      <c r="D49" s="6">
        <v>11209.09</v>
      </c>
      <c r="E49" s="6">
        <v>11209.09</v>
      </c>
      <c r="F49" s="6">
        <v>11209.09</v>
      </c>
      <c r="G49" s="6">
        <v>-6025.78</v>
      </c>
      <c r="H49" s="6">
        <v>5062.1499999999996</v>
      </c>
      <c r="I49" s="6">
        <v>11210.65</v>
      </c>
      <c r="J49" s="6">
        <v>10961.25</v>
      </c>
      <c r="K49" s="6">
        <v>840</v>
      </c>
      <c r="L49" s="6"/>
      <c r="M49" s="6">
        <v>10961.25</v>
      </c>
      <c r="N49" s="7">
        <f t="shared" si="2"/>
        <v>89659.61</v>
      </c>
    </row>
    <row r="51" spans="1:16" ht="15.75" x14ac:dyDescent="0.25">
      <c r="A51" s="2" t="s">
        <v>31</v>
      </c>
    </row>
    <row r="52" spans="1:16" x14ac:dyDescent="0.25">
      <c r="A52" s="3" t="s">
        <v>2</v>
      </c>
      <c r="B52" s="4" t="s">
        <v>3</v>
      </c>
      <c r="C52" s="4" t="s">
        <v>4</v>
      </c>
      <c r="D52" s="4" t="s">
        <v>5</v>
      </c>
      <c r="E52" s="4" t="s">
        <v>6</v>
      </c>
      <c r="F52" s="4" t="s">
        <v>7</v>
      </c>
      <c r="G52" s="4" t="s">
        <v>8</v>
      </c>
      <c r="H52" s="4" t="s">
        <v>9</v>
      </c>
      <c r="I52" s="4" t="s">
        <v>10</v>
      </c>
      <c r="J52" s="4" t="s">
        <v>11</v>
      </c>
      <c r="K52" s="4" t="s">
        <v>12</v>
      </c>
      <c r="L52" s="4" t="s">
        <v>13</v>
      </c>
      <c r="M52" s="4" t="s">
        <v>14</v>
      </c>
      <c r="N52" s="4" t="s">
        <v>15</v>
      </c>
    </row>
    <row r="53" spans="1:16" x14ac:dyDescent="0.25">
      <c r="A53" s="5" t="s">
        <v>16</v>
      </c>
      <c r="B53" s="6">
        <v>1441.29</v>
      </c>
      <c r="C53" s="6">
        <v>1441.29</v>
      </c>
      <c r="D53" s="6">
        <v>1441.29</v>
      </c>
      <c r="E53" s="6">
        <v>1441.29</v>
      </c>
      <c r="F53" s="6">
        <v>1441.29</v>
      </c>
      <c r="G53" s="6">
        <v>1441.29</v>
      </c>
      <c r="H53" s="6">
        <v>1441.29</v>
      </c>
      <c r="I53" s="6">
        <v>1441.29</v>
      </c>
      <c r="J53" s="6">
        <v>1441.29</v>
      </c>
      <c r="K53" s="6">
        <v>1441.29</v>
      </c>
      <c r="L53" s="6">
        <v>1441.29</v>
      </c>
      <c r="M53" s="6">
        <v>1441.29</v>
      </c>
      <c r="N53" s="7">
        <f t="shared" ref="N53:N65" si="3">SUM(B53:M53)</f>
        <v>17295.480000000003</v>
      </c>
    </row>
    <row r="54" spans="1:16" x14ac:dyDescent="0.25">
      <c r="A54" s="8" t="s">
        <v>17</v>
      </c>
      <c r="B54" s="9">
        <v>2669.05</v>
      </c>
      <c r="C54" s="9">
        <v>2669.05</v>
      </c>
      <c r="D54" s="9">
        <v>2669.05</v>
      </c>
      <c r="E54" s="9">
        <v>2669.05</v>
      </c>
      <c r="F54" s="9">
        <v>2669.05</v>
      </c>
      <c r="G54" s="9">
        <v>2669.05</v>
      </c>
      <c r="H54" s="9">
        <v>2669.05</v>
      </c>
      <c r="I54" s="9">
        <v>2669.05</v>
      </c>
      <c r="J54" s="9">
        <v>2669.05</v>
      </c>
      <c r="K54" s="9">
        <v>2669.05</v>
      </c>
      <c r="L54" s="9">
        <v>2669.05</v>
      </c>
      <c r="M54" s="9">
        <v>2669.05</v>
      </c>
      <c r="N54" s="10">
        <f t="shared" si="3"/>
        <v>32028.599999999995</v>
      </c>
    </row>
    <row r="55" spans="1:16" x14ac:dyDescent="0.25">
      <c r="A55" s="8" t="s">
        <v>18</v>
      </c>
      <c r="B55" s="9">
        <v>373.67</v>
      </c>
      <c r="C55" s="9">
        <v>373.67</v>
      </c>
      <c r="D55" s="9">
        <v>373.67</v>
      </c>
      <c r="E55" s="9">
        <v>373.67</v>
      </c>
      <c r="F55" s="9">
        <v>373.67</v>
      </c>
      <c r="G55" s="9">
        <v>373.67</v>
      </c>
      <c r="H55" s="9">
        <v>373.67</v>
      </c>
      <c r="I55" s="9">
        <v>373.67</v>
      </c>
      <c r="J55" s="9">
        <v>373.67</v>
      </c>
      <c r="K55" s="9">
        <v>373.67</v>
      </c>
      <c r="L55" s="9">
        <v>373.67</v>
      </c>
      <c r="M55" s="9">
        <v>373.67</v>
      </c>
      <c r="N55" s="10">
        <f t="shared" si="3"/>
        <v>4484.04</v>
      </c>
    </row>
    <row r="56" spans="1:16" x14ac:dyDescent="0.25">
      <c r="A56" s="8" t="s">
        <v>19</v>
      </c>
      <c r="B56" s="9">
        <v>1000</v>
      </c>
      <c r="C56" s="9">
        <v>1600</v>
      </c>
      <c r="D56" s="9">
        <v>1600</v>
      </c>
      <c r="E56" s="9">
        <v>1600</v>
      </c>
      <c r="F56" s="9">
        <v>1600</v>
      </c>
      <c r="G56" s="9">
        <v>1600</v>
      </c>
      <c r="H56" s="9">
        <v>1600</v>
      </c>
      <c r="I56" s="9">
        <v>1600</v>
      </c>
      <c r="J56" s="9">
        <v>1600</v>
      </c>
      <c r="K56" s="9">
        <v>1000</v>
      </c>
      <c r="L56" s="9">
        <v>1600</v>
      </c>
      <c r="M56" s="9">
        <v>1840</v>
      </c>
      <c r="N56" s="10">
        <f t="shared" si="3"/>
        <v>18240</v>
      </c>
    </row>
    <row r="57" spans="1:16" x14ac:dyDescent="0.25">
      <c r="A57" s="8" t="s">
        <v>20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10">
        <f t="shared" si="3"/>
        <v>0</v>
      </c>
    </row>
    <row r="58" spans="1:16" x14ac:dyDescent="0.25">
      <c r="A58" s="8" t="s">
        <v>21</v>
      </c>
      <c r="B58" s="11">
        <v>586.44000000000005</v>
      </c>
      <c r="C58" s="11">
        <v>586.44000000000005</v>
      </c>
      <c r="D58" s="11">
        <v>586.44000000000005</v>
      </c>
      <c r="E58" s="11">
        <v>586.44000000000005</v>
      </c>
      <c r="F58" s="11">
        <v>586.44000000000005</v>
      </c>
      <c r="G58" s="11">
        <v>586.44000000000005</v>
      </c>
      <c r="H58" s="11">
        <v>586.44000000000005</v>
      </c>
      <c r="I58" s="11">
        <v>637.20000000000005</v>
      </c>
      <c r="J58" s="11">
        <v>637.20000000000005</v>
      </c>
      <c r="K58" s="11">
        <v>637.20000000000005</v>
      </c>
      <c r="L58" s="11">
        <v>637.20000000000005</v>
      </c>
      <c r="M58" s="11">
        <v>708</v>
      </c>
      <c r="N58" s="10">
        <f t="shared" si="3"/>
        <v>7361.8799999999992</v>
      </c>
      <c r="O58" s="12">
        <f>SUM(H58:M58)</f>
        <v>3843.24</v>
      </c>
      <c r="P58" t="s">
        <v>45</v>
      </c>
    </row>
    <row r="59" spans="1:16" x14ac:dyDescent="0.25">
      <c r="A59" s="8" t="s">
        <v>22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0">
        <f t="shared" si="3"/>
        <v>0</v>
      </c>
    </row>
    <row r="60" spans="1:16" x14ac:dyDescent="0.25">
      <c r="A60" s="8" t="s">
        <v>23</v>
      </c>
      <c r="B60" s="11">
        <v>895.32</v>
      </c>
      <c r="C60" s="11">
        <v>895.32</v>
      </c>
      <c r="D60" s="11">
        <v>895.32</v>
      </c>
      <c r="E60" s="11">
        <v>895.32</v>
      </c>
      <c r="F60" s="11">
        <v>895.32</v>
      </c>
      <c r="G60" s="11">
        <v>895.32</v>
      </c>
      <c r="H60" s="11">
        <v>895.32</v>
      </c>
      <c r="I60" s="11">
        <v>972</v>
      </c>
      <c r="J60" s="11">
        <v>972</v>
      </c>
      <c r="K60" s="11">
        <v>972</v>
      </c>
      <c r="L60" s="11">
        <v>972</v>
      </c>
      <c r="M60" s="11">
        <v>1080</v>
      </c>
      <c r="N60" s="10">
        <f t="shared" si="3"/>
        <v>11235.24</v>
      </c>
      <c r="O60" s="12">
        <f>SUM(H60:M60)</f>
        <v>5863.32</v>
      </c>
      <c r="P60" t="s">
        <v>46</v>
      </c>
    </row>
    <row r="61" spans="1:16" x14ac:dyDescent="0.25">
      <c r="A61" s="8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>
        <f t="shared" si="3"/>
        <v>0</v>
      </c>
    </row>
    <row r="62" spans="1:16" x14ac:dyDescent="0.25">
      <c r="A62" s="5" t="s">
        <v>25</v>
      </c>
      <c r="B62" s="6">
        <v>6124.48</v>
      </c>
      <c r="C62" s="6">
        <v>6124.48</v>
      </c>
      <c r="D62" s="6">
        <v>6124.48</v>
      </c>
      <c r="E62" s="6">
        <v>6124.48</v>
      </c>
      <c r="F62" s="6">
        <v>6124.48</v>
      </c>
      <c r="G62" s="6">
        <v>6124.48</v>
      </c>
      <c r="H62" s="6">
        <v>6124.48</v>
      </c>
      <c r="I62" s="6">
        <v>-322.33</v>
      </c>
      <c r="J62" s="6">
        <v>6251.92</v>
      </c>
      <c r="K62" s="6">
        <v>6251.92</v>
      </c>
      <c r="L62" s="6">
        <v>6015.29</v>
      </c>
      <c r="M62" s="6">
        <v>6670.72</v>
      </c>
      <c r="N62" s="7">
        <f t="shared" si="3"/>
        <v>67738.87999999999</v>
      </c>
    </row>
    <row r="63" spans="1:16" x14ac:dyDescent="0.25">
      <c r="A63" s="5" t="s">
        <v>26</v>
      </c>
      <c r="B63" s="6">
        <v>720</v>
      </c>
      <c r="C63" s="6">
        <v>720</v>
      </c>
      <c r="D63" s="6">
        <v>720</v>
      </c>
      <c r="E63" s="6">
        <v>720</v>
      </c>
      <c r="F63" s="6">
        <v>720</v>
      </c>
      <c r="G63" s="6">
        <v>720</v>
      </c>
      <c r="H63" s="6">
        <v>720</v>
      </c>
      <c r="I63" s="6">
        <v>720</v>
      </c>
      <c r="J63" s="6">
        <v>720</v>
      </c>
      <c r="K63" s="6">
        <v>720</v>
      </c>
      <c r="L63" s="6">
        <v>720</v>
      </c>
      <c r="M63" s="6">
        <v>720</v>
      </c>
      <c r="N63" s="7">
        <f t="shared" si="3"/>
        <v>8640</v>
      </c>
    </row>
    <row r="64" spans="1:16" x14ac:dyDescent="0.25">
      <c r="A64" s="5" t="s">
        <v>27</v>
      </c>
      <c r="B64" s="6">
        <v>1334.53</v>
      </c>
      <c r="C64" s="6">
        <v>1334.53</v>
      </c>
      <c r="D64" s="6">
        <v>5071.2</v>
      </c>
      <c r="E64" s="6">
        <v>2135.2399999999998</v>
      </c>
      <c r="F64" s="6">
        <v>2135.2399999999998</v>
      </c>
      <c r="G64" s="6">
        <v>2135.2399999999998</v>
      </c>
      <c r="H64" s="6">
        <v>2135.2399999999998</v>
      </c>
      <c r="I64" s="6">
        <v>2135.2399999999998</v>
      </c>
      <c r="J64" s="6">
        <v>2135.2399999999998</v>
      </c>
      <c r="K64" s="6">
        <v>2135.2399999999998</v>
      </c>
      <c r="L64" s="6">
        <v>2135.2399999999998</v>
      </c>
      <c r="M64" s="6">
        <v>2135.2399999999998</v>
      </c>
      <c r="N64" s="7">
        <f t="shared" si="3"/>
        <v>26957.419999999991</v>
      </c>
    </row>
    <row r="65" spans="1:15" x14ac:dyDescent="0.25">
      <c r="A65" s="5" t="s">
        <v>28</v>
      </c>
      <c r="B65" s="6">
        <v>9620.2999999999993</v>
      </c>
      <c r="C65" s="6">
        <v>9620.2999999999993</v>
      </c>
      <c r="D65" s="6">
        <v>13356.97</v>
      </c>
      <c r="E65" s="6">
        <v>10421.01</v>
      </c>
      <c r="F65" s="6">
        <v>10421.01</v>
      </c>
      <c r="G65" s="6">
        <v>10421.01</v>
      </c>
      <c r="H65" s="6"/>
      <c r="I65" s="6">
        <v>3974.2</v>
      </c>
      <c r="J65" s="6">
        <v>10548.45</v>
      </c>
      <c r="K65" s="6">
        <v>720</v>
      </c>
      <c r="L65" s="6"/>
      <c r="M65" s="6">
        <v>10967.25</v>
      </c>
      <c r="N65" s="7">
        <f t="shared" si="3"/>
        <v>90070.5</v>
      </c>
    </row>
    <row r="67" spans="1:15" ht="15.75" x14ac:dyDescent="0.25">
      <c r="A67" s="2" t="s">
        <v>32</v>
      </c>
    </row>
    <row r="68" spans="1:15" x14ac:dyDescent="0.25">
      <c r="A68" s="3" t="s">
        <v>2</v>
      </c>
      <c r="B68" s="4" t="s">
        <v>3</v>
      </c>
      <c r="C68" s="4" t="s">
        <v>4</v>
      </c>
      <c r="D68" s="4" t="s">
        <v>5</v>
      </c>
      <c r="E68" s="4" t="s">
        <v>6</v>
      </c>
      <c r="F68" s="4" t="s">
        <v>7</v>
      </c>
      <c r="G68" s="4" t="s">
        <v>8</v>
      </c>
      <c r="H68" s="4" t="s">
        <v>9</v>
      </c>
      <c r="I68" s="4" t="s">
        <v>10</v>
      </c>
      <c r="J68" s="4" t="s">
        <v>11</v>
      </c>
      <c r="K68" s="4" t="s">
        <v>12</v>
      </c>
      <c r="L68" s="4" t="s">
        <v>13</v>
      </c>
      <c r="M68" s="4" t="s">
        <v>14</v>
      </c>
      <c r="N68" s="4" t="s">
        <v>15</v>
      </c>
    </row>
    <row r="69" spans="1:15" x14ac:dyDescent="0.25">
      <c r="A69" s="5" t="s">
        <v>16</v>
      </c>
      <c r="B69" s="6">
        <v>281.12</v>
      </c>
      <c r="C69" s="6">
        <v>281.12</v>
      </c>
      <c r="D69" s="6">
        <v>281.12</v>
      </c>
      <c r="E69" s="6">
        <v>281.12</v>
      </c>
      <c r="F69" s="6">
        <v>281.12</v>
      </c>
      <c r="G69" s="6">
        <v>281.12</v>
      </c>
      <c r="H69" s="6">
        <v>281.12</v>
      </c>
      <c r="I69" s="6">
        <v>281.12</v>
      </c>
      <c r="J69" s="6">
        <v>281.12</v>
      </c>
      <c r="K69" s="6">
        <v>281.12</v>
      </c>
      <c r="L69" s="6">
        <v>281.12</v>
      </c>
      <c r="M69" s="6">
        <v>281.12</v>
      </c>
      <c r="N69" s="7">
        <f t="shared" ref="N69:N81" si="4">SUM(B69:M69)</f>
        <v>3373.4399999999991</v>
      </c>
    </row>
    <row r="70" spans="1:15" x14ac:dyDescent="0.25">
      <c r="A70" s="8" t="s">
        <v>17</v>
      </c>
      <c r="B70" s="9">
        <v>502</v>
      </c>
      <c r="C70" s="9">
        <v>502</v>
      </c>
      <c r="D70" s="9">
        <v>502</v>
      </c>
      <c r="E70" s="9">
        <v>502</v>
      </c>
      <c r="F70" s="9">
        <v>502</v>
      </c>
      <c r="G70" s="9">
        <v>502</v>
      </c>
      <c r="H70" s="9">
        <v>502</v>
      </c>
      <c r="I70" s="9">
        <v>502</v>
      </c>
      <c r="J70" s="9">
        <v>502</v>
      </c>
      <c r="K70" s="9">
        <v>502</v>
      </c>
      <c r="L70" s="9">
        <v>502</v>
      </c>
      <c r="M70" s="9">
        <v>502</v>
      </c>
      <c r="N70" s="10">
        <f t="shared" si="4"/>
        <v>6024</v>
      </c>
    </row>
    <row r="71" spans="1:15" x14ac:dyDescent="0.25">
      <c r="A71" s="8" t="s">
        <v>18</v>
      </c>
      <c r="B71" s="9">
        <v>70.28</v>
      </c>
      <c r="C71" s="9">
        <v>70.28</v>
      </c>
      <c r="D71" s="9">
        <v>70.28</v>
      </c>
      <c r="E71" s="9">
        <v>70.28</v>
      </c>
      <c r="F71" s="9">
        <v>70.28</v>
      </c>
      <c r="G71" s="9">
        <v>70.28</v>
      </c>
      <c r="H71" s="9">
        <v>70.28</v>
      </c>
      <c r="I71" s="9">
        <v>70.28</v>
      </c>
      <c r="J71" s="9">
        <v>70.28</v>
      </c>
      <c r="K71" s="9">
        <v>70.28</v>
      </c>
      <c r="L71" s="9">
        <v>70.28</v>
      </c>
      <c r="M71" s="9">
        <v>70.28</v>
      </c>
      <c r="N71" s="10">
        <f t="shared" si="4"/>
        <v>843.35999999999979</v>
      </c>
    </row>
    <row r="72" spans="1:15" x14ac:dyDescent="0.25">
      <c r="A72" s="8" t="s">
        <v>19</v>
      </c>
      <c r="C72" s="9"/>
      <c r="E72" s="9"/>
      <c r="F72" s="9"/>
      <c r="G72" s="9"/>
      <c r="H72" s="9"/>
      <c r="I72" s="9"/>
      <c r="J72" s="9"/>
      <c r="M72" s="9"/>
      <c r="N72" s="10">
        <f t="shared" si="4"/>
        <v>0</v>
      </c>
    </row>
    <row r="73" spans="1:15" x14ac:dyDescent="0.25">
      <c r="A73" s="8" t="s">
        <v>20</v>
      </c>
      <c r="B73" s="9">
        <v>260</v>
      </c>
      <c r="C73" s="9">
        <v>260</v>
      </c>
      <c r="D73" s="9">
        <v>260</v>
      </c>
      <c r="E73" s="9">
        <v>260</v>
      </c>
      <c r="F73" s="9">
        <v>260</v>
      </c>
      <c r="G73" s="9">
        <v>260</v>
      </c>
      <c r="H73" s="9">
        <v>260</v>
      </c>
      <c r="I73" s="9">
        <v>260</v>
      </c>
      <c r="J73" s="9">
        <v>260</v>
      </c>
      <c r="K73" s="9">
        <v>260</v>
      </c>
      <c r="L73" s="9">
        <v>260</v>
      </c>
      <c r="M73" s="9">
        <v>260</v>
      </c>
      <c r="N73" s="10">
        <f>SUM(B73:M73)</f>
        <v>3120</v>
      </c>
    </row>
    <row r="74" spans="1:15" x14ac:dyDescent="0.25">
      <c r="A74" s="8" t="s">
        <v>21</v>
      </c>
      <c r="C74" s="9"/>
      <c r="E74" s="9"/>
      <c r="F74" s="9"/>
      <c r="G74" s="9"/>
      <c r="H74" s="9"/>
      <c r="I74" s="9"/>
      <c r="J74" s="9"/>
      <c r="M74" s="9"/>
      <c r="N74" s="10">
        <f t="shared" si="4"/>
        <v>0</v>
      </c>
    </row>
    <row r="75" spans="1:15" x14ac:dyDescent="0.25">
      <c r="A75" s="8" t="s">
        <v>22</v>
      </c>
      <c r="B75" s="9">
        <v>59.73</v>
      </c>
      <c r="C75" s="9">
        <v>59.73</v>
      </c>
      <c r="D75" s="9">
        <v>59.73</v>
      </c>
      <c r="E75" s="9">
        <v>59.73</v>
      </c>
      <c r="F75" s="9">
        <v>59.73</v>
      </c>
      <c r="G75" s="9">
        <v>59.73</v>
      </c>
      <c r="H75" s="9">
        <v>59.73</v>
      </c>
      <c r="I75" s="9">
        <v>64.900000000000006</v>
      </c>
      <c r="J75" s="9">
        <v>64.900000000000006</v>
      </c>
      <c r="K75" s="9">
        <v>64.900000000000006</v>
      </c>
      <c r="L75" s="9">
        <v>64.900000000000006</v>
      </c>
      <c r="M75" s="9">
        <v>64.900000000000006</v>
      </c>
      <c r="N75" s="10">
        <f>SUM(B75:M75)</f>
        <v>742.6099999999999</v>
      </c>
    </row>
    <row r="76" spans="1:15" x14ac:dyDescent="0.25">
      <c r="A76" s="8" t="s">
        <v>23</v>
      </c>
      <c r="B76" s="9">
        <v>91.19</v>
      </c>
      <c r="C76" s="9"/>
      <c r="D76" s="9">
        <v>91.19</v>
      </c>
      <c r="E76" s="9">
        <v>91.19</v>
      </c>
      <c r="F76" s="9">
        <v>91.19</v>
      </c>
      <c r="G76" s="9">
        <v>91.19</v>
      </c>
      <c r="H76" s="9">
        <v>91.19</v>
      </c>
      <c r="I76" s="9">
        <v>99</v>
      </c>
      <c r="J76" s="9">
        <v>99</v>
      </c>
      <c r="K76" s="9">
        <v>99</v>
      </c>
      <c r="L76" s="9">
        <v>99</v>
      </c>
      <c r="M76" s="9">
        <v>99</v>
      </c>
      <c r="N76" s="10">
        <f t="shared" si="4"/>
        <v>1042.1399999999999</v>
      </c>
      <c r="O76" s="12">
        <f>SUM(H75:M76)</f>
        <v>970.42000000000007</v>
      </c>
    </row>
    <row r="77" spans="1:15" x14ac:dyDescent="0.25">
      <c r="A77" s="8" t="s">
        <v>24</v>
      </c>
      <c r="B77" s="9"/>
      <c r="C77" s="9">
        <v>91.19</v>
      </c>
      <c r="D77" s="9"/>
      <c r="E77" s="9">
        <v>91.19</v>
      </c>
      <c r="F77" s="9">
        <v>91.19</v>
      </c>
      <c r="G77" s="9">
        <v>91.19</v>
      </c>
      <c r="H77" s="9">
        <v>91.19</v>
      </c>
      <c r="I77" s="9">
        <v>99</v>
      </c>
      <c r="J77" s="9">
        <v>99</v>
      </c>
      <c r="K77" s="9"/>
      <c r="L77" s="9"/>
      <c r="M77" s="9">
        <v>99</v>
      </c>
      <c r="N77" s="10">
        <f t="shared" si="4"/>
        <v>752.95</v>
      </c>
    </row>
    <row r="78" spans="1:15" x14ac:dyDescent="0.25">
      <c r="A78" s="5" t="s">
        <v>25</v>
      </c>
      <c r="B78" s="6">
        <v>983.2</v>
      </c>
      <c r="C78" s="6">
        <v>983.2</v>
      </c>
      <c r="D78" s="6">
        <v>983.2</v>
      </c>
      <c r="E78" s="6">
        <v>983.2</v>
      </c>
      <c r="F78" s="6">
        <v>983.2</v>
      </c>
      <c r="G78" s="6">
        <v>983.2</v>
      </c>
      <c r="H78" s="6">
        <v>983.2</v>
      </c>
      <c r="I78" s="6">
        <v>996.18</v>
      </c>
      <c r="J78" s="6">
        <v>996.18</v>
      </c>
      <c r="K78" s="6">
        <v>996.18</v>
      </c>
      <c r="L78" s="6">
        <v>784.05</v>
      </c>
      <c r="M78" s="6">
        <v>996.18</v>
      </c>
      <c r="N78" s="7">
        <f t="shared" si="4"/>
        <v>11651.17</v>
      </c>
    </row>
    <row r="79" spans="1:15" x14ac:dyDescent="0.25">
      <c r="A79" s="5" t="s">
        <v>26</v>
      </c>
      <c r="B79" s="6">
        <v>180</v>
      </c>
      <c r="C79" s="6">
        <v>180</v>
      </c>
      <c r="D79" s="6">
        <v>180</v>
      </c>
      <c r="E79" s="6">
        <v>180</v>
      </c>
      <c r="F79" s="6">
        <v>180</v>
      </c>
      <c r="G79" s="6">
        <v>180</v>
      </c>
      <c r="H79" s="6">
        <v>180</v>
      </c>
      <c r="I79" s="6">
        <v>180</v>
      </c>
      <c r="J79" s="6">
        <v>180</v>
      </c>
      <c r="K79" s="6">
        <v>180</v>
      </c>
      <c r="L79" s="6">
        <v>180</v>
      </c>
      <c r="M79" s="6">
        <v>180</v>
      </c>
      <c r="N79" s="7">
        <f t="shared" si="4"/>
        <v>2160</v>
      </c>
    </row>
    <row r="80" spans="1:15" x14ac:dyDescent="0.25">
      <c r="A80" s="5" t="s">
        <v>27</v>
      </c>
      <c r="B80" s="6">
        <v>401.6</v>
      </c>
      <c r="C80" s="6">
        <v>401.6</v>
      </c>
      <c r="D80" s="6">
        <v>401.6</v>
      </c>
      <c r="E80" s="6">
        <v>401.6</v>
      </c>
      <c r="F80" s="6">
        <v>401.6</v>
      </c>
      <c r="G80" s="6">
        <v>401.6</v>
      </c>
      <c r="H80" s="6">
        <v>401.6</v>
      </c>
      <c r="I80" s="6">
        <v>401.6</v>
      </c>
      <c r="J80" s="6">
        <v>401.6</v>
      </c>
      <c r="K80" s="6">
        <v>401.6</v>
      </c>
      <c r="L80" s="6">
        <v>401.6</v>
      </c>
      <c r="M80" s="6">
        <v>401.6</v>
      </c>
      <c r="N80" s="7">
        <f t="shared" si="4"/>
        <v>4819.2</v>
      </c>
    </row>
    <row r="81" spans="1:15" x14ac:dyDescent="0.25">
      <c r="A81" s="5" t="s">
        <v>28</v>
      </c>
      <c r="B81" s="6">
        <v>1845.92</v>
      </c>
      <c r="C81" s="6">
        <v>1845.92</v>
      </c>
      <c r="D81" s="6">
        <v>1845.92</v>
      </c>
      <c r="E81" s="6">
        <v>1845.92</v>
      </c>
      <c r="F81" s="6">
        <v>3021.76</v>
      </c>
      <c r="G81" s="6">
        <v>1845.92</v>
      </c>
      <c r="H81" s="6">
        <v>1845.92</v>
      </c>
      <c r="I81" s="6">
        <v>1858.9</v>
      </c>
      <c r="J81" s="6">
        <v>1858.9</v>
      </c>
      <c r="K81" s="6">
        <v>180</v>
      </c>
      <c r="L81" s="6">
        <v>1647.77</v>
      </c>
      <c r="M81" s="6">
        <v>1858.9</v>
      </c>
      <c r="N81" s="7">
        <f t="shared" si="4"/>
        <v>21501.750000000004</v>
      </c>
    </row>
    <row r="83" spans="1:15" ht="15.75" x14ac:dyDescent="0.25">
      <c r="A83" s="2" t="s">
        <v>33</v>
      </c>
    </row>
    <row r="84" spans="1:15" x14ac:dyDescent="0.25">
      <c r="A84" s="3" t="s">
        <v>2</v>
      </c>
      <c r="B84" s="4" t="s">
        <v>3</v>
      </c>
      <c r="C84" s="4" t="s">
        <v>4</v>
      </c>
      <c r="D84" s="4" t="s">
        <v>5</v>
      </c>
      <c r="E84" s="4" t="s">
        <v>6</v>
      </c>
      <c r="F84" s="4" t="s">
        <v>7</v>
      </c>
      <c r="G84" s="4" t="s">
        <v>8</v>
      </c>
      <c r="H84" s="4" t="s">
        <v>9</v>
      </c>
      <c r="I84" s="4" t="s">
        <v>10</v>
      </c>
      <c r="J84" s="4" t="s">
        <v>11</v>
      </c>
      <c r="K84" s="4" t="s">
        <v>12</v>
      </c>
      <c r="L84" s="4" t="s">
        <v>13</v>
      </c>
      <c r="M84" s="4" t="s">
        <v>14</v>
      </c>
      <c r="N84" s="4" t="s">
        <v>15</v>
      </c>
    </row>
    <row r="85" spans="1:15" x14ac:dyDescent="0.25">
      <c r="A85" s="5" t="s">
        <v>16</v>
      </c>
      <c r="B85" s="6">
        <v>821.88</v>
      </c>
      <c r="C85" s="6">
        <v>821.88</v>
      </c>
      <c r="D85" s="6">
        <v>821.88</v>
      </c>
      <c r="E85" s="6">
        <v>821.88</v>
      </c>
      <c r="F85" s="6">
        <v>821.88</v>
      </c>
      <c r="G85" s="6">
        <v>821.88</v>
      </c>
      <c r="H85" s="6">
        <v>821.88</v>
      </c>
      <c r="I85" s="6">
        <v>821.88</v>
      </c>
      <c r="J85" s="6">
        <v>821.88</v>
      </c>
      <c r="K85" s="6">
        <v>821.88</v>
      </c>
      <c r="L85" s="6">
        <v>821.88</v>
      </c>
      <c r="M85" s="6">
        <v>821.88</v>
      </c>
      <c r="N85" s="7">
        <f t="shared" ref="N85:N97" si="5">SUM(B85:M85)</f>
        <v>9862.5599999999977</v>
      </c>
    </row>
    <row r="86" spans="1:15" x14ac:dyDescent="0.25">
      <c r="A86" s="8" t="s">
        <v>17</v>
      </c>
      <c r="B86" s="9">
        <v>1467.65</v>
      </c>
      <c r="C86" s="9">
        <v>1467.65</v>
      </c>
      <c r="D86" s="9">
        <v>1467.65</v>
      </c>
      <c r="E86" s="9">
        <v>1467.65</v>
      </c>
      <c r="F86" s="9">
        <v>1467.65</v>
      </c>
      <c r="G86" s="9">
        <v>1467.65</v>
      </c>
      <c r="H86" s="9">
        <v>1467.65</v>
      </c>
      <c r="I86" s="9">
        <v>1467.65</v>
      </c>
      <c r="J86" s="9">
        <v>1467.65</v>
      </c>
      <c r="K86" s="9">
        <v>1467.65</v>
      </c>
      <c r="L86" s="9">
        <v>1467.65</v>
      </c>
      <c r="M86" s="9">
        <v>1467.65</v>
      </c>
      <c r="N86" s="10">
        <f t="shared" si="5"/>
        <v>17611.8</v>
      </c>
    </row>
    <row r="87" spans="1:15" x14ac:dyDescent="0.25">
      <c r="A87" s="8" t="s">
        <v>18</v>
      </c>
      <c r="B87" s="9">
        <v>205.47</v>
      </c>
      <c r="C87" s="9">
        <v>205.47</v>
      </c>
      <c r="D87" s="9">
        <v>205.47</v>
      </c>
      <c r="E87" s="9">
        <v>205.47</v>
      </c>
      <c r="F87" s="9">
        <v>205.47</v>
      </c>
      <c r="G87" s="9">
        <v>205.47</v>
      </c>
      <c r="H87" s="9">
        <v>205.47</v>
      </c>
      <c r="I87" s="9">
        <v>205.47</v>
      </c>
      <c r="J87" s="9">
        <v>205.47</v>
      </c>
      <c r="K87" s="9">
        <v>205.47</v>
      </c>
      <c r="L87" s="9">
        <v>205.47</v>
      </c>
      <c r="M87" s="9">
        <v>205.47</v>
      </c>
      <c r="N87" s="10">
        <f t="shared" si="5"/>
        <v>2465.6399999999994</v>
      </c>
    </row>
    <row r="88" spans="1:15" x14ac:dyDescent="0.25">
      <c r="A88" s="8" t="s">
        <v>19</v>
      </c>
      <c r="B88" s="9"/>
      <c r="C88" s="9"/>
      <c r="D88" s="9"/>
      <c r="E88" s="9"/>
      <c r="F88" s="9"/>
      <c r="G88" s="9"/>
      <c r="H88" s="9"/>
      <c r="J88" s="9"/>
      <c r="L88" s="9"/>
      <c r="M88" s="9"/>
      <c r="N88" s="10">
        <f t="shared" si="5"/>
        <v>0</v>
      </c>
    </row>
    <row r="89" spans="1:15" x14ac:dyDescent="0.25">
      <c r="A89" s="8" t="s">
        <v>20</v>
      </c>
      <c r="B89" s="9">
        <v>1440</v>
      </c>
      <c r="C89" s="9">
        <v>1460</v>
      </c>
      <c r="D89" s="9">
        <v>1540</v>
      </c>
      <c r="E89" s="9">
        <v>1540</v>
      </c>
      <c r="F89" s="9">
        <v>1540</v>
      </c>
      <c r="G89" s="9">
        <v>1540</v>
      </c>
      <c r="H89" s="9">
        <v>1540</v>
      </c>
      <c r="I89" s="9">
        <v>1540</v>
      </c>
      <c r="J89" s="9">
        <v>1540</v>
      </c>
      <c r="K89" s="9">
        <v>1360</v>
      </c>
      <c r="L89" s="9">
        <v>1460</v>
      </c>
      <c r="M89" s="9">
        <v>1460</v>
      </c>
      <c r="N89" s="10">
        <f t="shared" si="5"/>
        <v>17960</v>
      </c>
      <c r="O89" s="12">
        <f>SUM(H89:M89)</f>
        <v>8900</v>
      </c>
    </row>
    <row r="90" spans="1:15" x14ac:dyDescent="0.25">
      <c r="A90" s="13" t="s">
        <v>21</v>
      </c>
      <c r="B90" s="11"/>
      <c r="C90" s="11"/>
      <c r="D90" s="11"/>
      <c r="E90" s="11"/>
      <c r="F90" s="11"/>
      <c r="G90" s="11"/>
      <c r="H90" s="11"/>
      <c r="I90" s="14"/>
      <c r="J90" s="11"/>
      <c r="K90" s="14"/>
      <c r="L90" s="11"/>
      <c r="M90" s="11"/>
      <c r="N90" s="15">
        <f t="shared" si="5"/>
        <v>0</v>
      </c>
    </row>
    <row r="91" spans="1:15" x14ac:dyDescent="0.25">
      <c r="A91" s="13" t="s">
        <v>22</v>
      </c>
      <c r="B91" s="11">
        <v>293.22000000000003</v>
      </c>
      <c r="C91" s="11">
        <v>298.64999999999998</v>
      </c>
      <c r="D91" s="11">
        <v>314.94</v>
      </c>
      <c r="E91" s="11">
        <v>314.94</v>
      </c>
      <c r="F91" s="11">
        <v>315.16000000000003</v>
      </c>
      <c r="G91" s="11">
        <v>314.94</v>
      </c>
      <c r="H91" s="11">
        <v>314.94</v>
      </c>
      <c r="I91" s="11">
        <v>342.2</v>
      </c>
      <c r="J91" s="11">
        <v>342.2</v>
      </c>
      <c r="K91" s="11">
        <v>300.89999999999998</v>
      </c>
      <c r="L91" s="11">
        <v>324.5</v>
      </c>
      <c r="M91" s="11">
        <v>324.5</v>
      </c>
      <c r="N91" s="15">
        <f t="shared" si="5"/>
        <v>3801.0899999999997</v>
      </c>
      <c r="O91" s="12">
        <f>SUM(H91:M93)</f>
        <v>4937.96</v>
      </c>
    </row>
    <row r="92" spans="1:15" x14ac:dyDescent="0.25">
      <c r="A92" s="13" t="s">
        <v>23</v>
      </c>
      <c r="B92" s="11"/>
      <c r="C92" s="11"/>
      <c r="D92" s="11"/>
      <c r="E92" s="11"/>
      <c r="F92" s="11"/>
      <c r="G92" s="11"/>
      <c r="H92" s="11"/>
      <c r="I92" s="14"/>
      <c r="J92" s="11"/>
      <c r="K92" s="14"/>
      <c r="L92" s="11"/>
      <c r="M92" s="11"/>
      <c r="N92" s="15">
        <f t="shared" si="5"/>
        <v>0</v>
      </c>
    </row>
    <row r="93" spans="1:15" x14ac:dyDescent="0.25">
      <c r="A93" s="13" t="s">
        <v>24</v>
      </c>
      <c r="B93" s="11">
        <v>447.66</v>
      </c>
      <c r="C93" s="11">
        <v>455.95</v>
      </c>
      <c r="D93" s="11">
        <v>480.82</v>
      </c>
      <c r="E93" s="11">
        <v>480.82</v>
      </c>
      <c r="F93" s="11">
        <v>480.82</v>
      </c>
      <c r="G93" s="11">
        <v>480.82</v>
      </c>
      <c r="H93" s="11">
        <v>480.82</v>
      </c>
      <c r="I93" s="11">
        <v>522</v>
      </c>
      <c r="J93" s="11">
        <v>522</v>
      </c>
      <c r="K93" s="11">
        <v>473.9</v>
      </c>
      <c r="L93" s="11">
        <v>495</v>
      </c>
      <c r="M93" s="11">
        <v>495</v>
      </c>
      <c r="N93" s="15">
        <f t="shared" si="5"/>
        <v>5815.6100000000006</v>
      </c>
    </row>
    <row r="94" spans="1:15" x14ac:dyDescent="0.25">
      <c r="A94" s="5" t="s">
        <v>25</v>
      </c>
      <c r="B94" s="6">
        <v>3887.72</v>
      </c>
      <c r="C94" s="6">
        <v>3887.72</v>
      </c>
      <c r="D94" s="6">
        <v>4008.88</v>
      </c>
      <c r="E94" s="6">
        <v>4008.88</v>
      </c>
      <c r="F94" s="6">
        <v>4008.88</v>
      </c>
      <c r="G94" s="6">
        <v>4008.88</v>
      </c>
      <c r="H94" s="6">
        <v>4008.88</v>
      </c>
      <c r="I94" s="6">
        <v>4077.32</v>
      </c>
      <c r="J94" s="6">
        <v>4077.32</v>
      </c>
      <c r="K94" s="6">
        <v>3827.92</v>
      </c>
      <c r="L94" s="6">
        <v>502.36</v>
      </c>
      <c r="M94" s="6">
        <v>3952.62</v>
      </c>
      <c r="N94" s="7">
        <f t="shared" si="5"/>
        <v>44257.380000000005</v>
      </c>
    </row>
    <row r="95" spans="1:15" x14ac:dyDescent="0.25">
      <c r="A95" s="5" t="s">
        <v>26</v>
      </c>
      <c r="B95" s="6">
        <v>420</v>
      </c>
      <c r="C95" s="6">
        <v>420</v>
      </c>
      <c r="D95" s="6">
        <v>420</v>
      </c>
      <c r="E95" s="6">
        <v>420</v>
      </c>
      <c r="F95" s="6">
        <v>420</v>
      </c>
      <c r="G95" s="6">
        <v>420</v>
      </c>
      <c r="H95" s="6">
        <v>420</v>
      </c>
      <c r="I95" s="6">
        <v>420</v>
      </c>
      <c r="J95" s="6">
        <v>420</v>
      </c>
      <c r="K95" s="6">
        <v>420</v>
      </c>
      <c r="L95" s="6">
        <v>420</v>
      </c>
      <c r="M95" s="6">
        <v>420</v>
      </c>
      <c r="N95" s="7">
        <f t="shared" si="5"/>
        <v>5040</v>
      </c>
    </row>
    <row r="96" spans="1:15" x14ac:dyDescent="0.25">
      <c r="A96" s="5" t="s">
        <v>27</v>
      </c>
      <c r="B96" s="6">
        <v>880.59</v>
      </c>
      <c r="C96" s="6">
        <v>880.59</v>
      </c>
      <c r="D96" s="6">
        <v>880.59</v>
      </c>
      <c r="E96" s="6">
        <v>880.59</v>
      </c>
      <c r="F96" s="6">
        <v>880.59</v>
      </c>
      <c r="G96" s="6">
        <v>880.59</v>
      </c>
      <c r="H96" s="6">
        <v>880.59</v>
      </c>
      <c r="I96" s="6">
        <v>880.59</v>
      </c>
      <c r="J96" s="6">
        <v>880.59</v>
      </c>
      <c r="K96" s="6">
        <v>880.59</v>
      </c>
      <c r="L96" s="6">
        <v>880.59</v>
      </c>
      <c r="M96" s="6">
        <v>880.59</v>
      </c>
      <c r="N96" s="7">
        <f t="shared" si="5"/>
        <v>10567.08</v>
      </c>
    </row>
    <row r="97" spans="1:15" x14ac:dyDescent="0.25">
      <c r="A97" s="5" t="s">
        <v>28</v>
      </c>
      <c r="B97" s="6">
        <v>6010.19</v>
      </c>
      <c r="C97" s="6">
        <v>6010.19</v>
      </c>
      <c r="D97" s="6">
        <v>6131.35</v>
      </c>
      <c r="E97" s="6">
        <v>6131.35</v>
      </c>
      <c r="F97" s="6">
        <v>6131.35</v>
      </c>
      <c r="G97" s="6">
        <v>822.75</v>
      </c>
      <c r="H97" s="6">
        <v>6131.35</v>
      </c>
      <c r="I97" s="6">
        <v>6199.79</v>
      </c>
      <c r="J97" s="6">
        <v>6199.79</v>
      </c>
      <c r="K97" s="6">
        <v>420</v>
      </c>
      <c r="L97" s="6">
        <v>2624.83</v>
      </c>
      <c r="M97" s="6">
        <v>6075.09</v>
      </c>
      <c r="N97" s="7">
        <f t="shared" si="5"/>
        <v>58888.03</v>
      </c>
    </row>
    <row r="99" spans="1:15" ht="15.75" x14ac:dyDescent="0.25">
      <c r="A99" s="2" t="s">
        <v>34</v>
      </c>
    </row>
    <row r="100" spans="1:15" x14ac:dyDescent="0.25">
      <c r="A100" s="3" t="s">
        <v>2</v>
      </c>
      <c r="B100" s="4" t="s">
        <v>3</v>
      </c>
      <c r="C100" s="4" t="s">
        <v>4</v>
      </c>
      <c r="D100" s="4" t="s">
        <v>5</v>
      </c>
      <c r="E100" s="4" t="s">
        <v>6</v>
      </c>
      <c r="F100" s="4" t="s">
        <v>7</v>
      </c>
      <c r="G100" s="4" t="s">
        <v>8</v>
      </c>
      <c r="H100" s="4" t="s">
        <v>9</v>
      </c>
      <c r="I100" s="4" t="s">
        <v>10</v>
      </c>
      <c r="J100" s="4" t="s">
        <v>11</v>
      </c>
      <c r="K100" s="4" t="s">
        <v>12</v>
      </c>
      <c r="L100" s="4" t="s">
        <v>13</v>
      </c>
      <c r="M100" s="4" t="s">
        <v>14</v>
      </c>
      <c r="N100" s="4" t="s">
        <v>15</v>
      </c>
    </row>
    <row r="101" spans="1:15" x14ac:dyDescent="0.25">
      <c r="A101" s="5" t="s">
        <v>16</v>
      </c>
      <c r="B101" s="6">
        <v>843.25</v>
      </c>
      <c r="C101" s="6">
        <v>843.25</v>
      </c>
      <c r="D101" s="6">
        <v>843.25</v>
      </c>
      <c r="E101" s="6">
        <v>1180.55</v>
      </c>
      <c r="F101" s="6">
        <v>1011.9</v>
      </c>
      <c r="G101" s="6">
        <v>1011.9</v>
      </c>
      <c r="H101" s="6">
        <v>1011.9</v>
      </c>
      <c r="I101" s="6"/>
      <c r="J101" s="6">
        <v>1011.9</v>
      </c>
      <c r="K101" s="6">
        <v>1011.9</v>
      </c>
      <c r="L101" s="6">
        <v>1011.9</v>
      </c>
      <c r="M101" s="6">
        <v>1011.9</v>
      </c>
      <c r="N101" s="7">
        <f t="shared" ref="N101:N113" si="6">SUM(B101:M101)</f>
        <v>10793.599999999999</v>
      </c>
    </row>
    <row r="102" spans="1:15" x14ac:dyDescent="0.25">
      <c r="A102" s="8" t="s">
        <v>17</v>
      </c>
      <c r="B102" s="9">
        <v>2023.8</v>
      </c>
      <c r="C102" s="9">
        <v>2023.8</v>
      </c>
      <c r="D102" s="9">
        <v>2023.8</v>
      </c>
      <c r="E102" s="9">
        <v>2023.8</v>
      </c>
      <c r="F102" s="9">
        <v>2023.8</v>
      </c>
      <c r="G102" s="9">
        <v>2023.8</v>
      </c>
      <c r="H102" s="9">
        <v>2023.8</v>
      </c>
      <c r="I102" s="9"/>
      <c r="J102" s="9">
        <v>2023.8</v>
      </c>
      <c r="K102" s="9">
        <v>2023.8</v>
      </c>
      <c r="L102" s="9">
        <v>2023.8</v>
      </c>
      <c r="M102" s="9">
        <v>2023.8</v>
      </c>
      <c r="N102" s="10">
        <f t="shared" si="6"/>
        <v>22261.799999999996</v>
      </c>
    </row>
    <row r="103" spans="1:15" x14ac:dyDescent="0.25">
      <c r="A103" s="8" t="s">
        <v>18</v>
      </c>
      <c r="B103" s="9">
        <v>337.3</v>
      </c>
      <c r="C103" s="9">
        <v>337.3</v>
      </c>
      <c r="D103" s="9">
        <v>337.3</v>
      </c>
      <c r="E103" s="9">
        <v>337.3</v>
      </c>
      <c r="F103" s="9">
        <v>337.3</v>
      </c>
      <c r="G103" s="9">
        <v>337.3</v>
      </c>
      <c r="H103" s="9">
        <v>337.3</v>
      </c>
      <c r="I103" s="9"/>
      <c r="J103" s="9">
        <v>337.3</v>
      </c>
      <c r="K103" s="9">
        <v>337.3</v>
      </c>
      <c r="L103" s="9">
        <v>337.3</v>
      </c>
      <c r="M103" s="9">
        <v>337.3</v>
      </c>
      <c r="N103" s="10">
        <f t="shared" si="6"/>
        <v>3710.3000000000006</v>
      </c>
    </row>
    <row r="104" spans="1:15" x14ac:dyDescent="0.25">
      <c r="A104" s="8" t="s">
        <v>19</v>
      </c>
      <c r="B104" s="9"/>
      <c r="C104" s="9"/>
      <c r="D104" s="9"/>
      <c r="E104" s="9"/>
      <c r="G104" s="9"/>
      <c r="H104" s="9"/>
      <c r="I104" s="9"/>
      <c r="J104" s="9"/>
      <c r="M104" s="9"/>
      <c r="N104" s="10">
        <f t="shared" si="6"/>
        <v>0</v>
      </c>
    </row>
    <row r="105" spans="1:15" x14ac:dyDescent="0.25">
      <c r="A105" s="8" t="s">
        <v>20</v>
      </c>
      <c r="B105" s="9">
        <v>1526.5</v>
      </c>
      <c r="C105" s="9">
        <v>1526.5</v>
      </c>
      <c r="D105" s="9">
        <v>1526.5</v>
      </c>
      <c r="E105" s="9">
        <v>1526.5</v>
      </c>
      <c r="F105" s="9">
        <v>1354.5</v>
      </c>
      <c r="G105" s="9">
        <v>1440.5</v>
      </c>
      <c r="H105" s="9">
        <v>1440.5</v>
      </c>
      <c r="I105" s="11">
        <v>1440.5</v>
      </c>
      <c r="J105" s="9">
        <v>1440.5</v>
      </c>
      <c r="K105" s="9">
        <v>1440.5</v>
      </c>
      <c r="L105" s="9">
        <v>1440.5</v>
      </c>
      <c r="M105" s="9">
        <v>1440.5</v>
      </c>
      <c r="N105" s="10">
        <f t="shared" si="6"/>
        <v>17544</v>
      </c>
    </row>
    <row r="106" spans="1:15" x14ac:dyDescent="0.25">
      <c r="A106" s="8" t="s">
        <v>21</v>
      </c>
      <c r="B106" s="9"/>
      <c r="C106" s="9"/>
      <c r="D106" s="9"/>
      <c r="E106" s="9"/>
      <c r="G106" s="9"/>
      <c r="H106" s="9"/>
      <c r="I106" s="9"/>
      <c r="J106" s="9"/>
      <c r="M106" s="9"/>
      <c r="N106" s="10">
        <f t="shared" si="6"/>
        <v>0</v>
      </c>
    </row>
    <row r="107" spans="1:15" x14ac:dyDescent="0.25">
      <c r="A107" s="8" t="s">
        <v>22</v>
      </c>
      <c r="B107" s="9">
        <v>366.53</v>
      </c>
      <c r="C107" s="9">
        <v>366.53</v>
      </c>
      <c r="D107" s="9">
        <v>366.53</v>
      </c>
      <c r="E107" s="9">
        <v>366.53</v>
      </c>
      <c r="F107" s="9">
        <v>333.95</v>
      </c>
      <c r="G107" s="9">
        <v>350.24</v>
      </c>
      <c r="H107" s="9">
        <v>350.24</v>
      </c>
      <c r="I107" s="9">
        <v>380.55</v>
      </c>
      <c r="J107" s="9">
        <v>380.55</v>
      </c>
      <c r="K107" s="9">
        <v>380.55</v>
      </c>
      <c r="L107" s="9">
        <v>380.55</v>
      </c>
      <c r="M107" s="9">
        <v>380.55</v>
      </c>
      <c r="N107" s="10">
        <f t="shared" si="6"/>
        <v>4403.3000000000011</v>
      </c>
      <c r="O107" s="12">
        <f>SUM(H107:M109)</f>
        <v>5690.2</v>
      </c>
    </row>
    <row r="108" spans="1:15" x14ac:dyDescent="0.25">
      <c r="A108" s="8" t="s">
        <v>23</v>
      </c>
      <c r="C108" s="9"/>
      <c r="D108" s="9"/>
      <c r="E108" s="9"/>
      <c r="G108" s="9"/>
      <c r="H108" s="9"/>
      <c r="I108" s="9"/>
      <c r="J108" s="9"/>
      <c r="M108" s="9"/>
      <c r="N108" s="10">
        <f t="shared" si="6"/>
        <v>0</v>
      </c>
    </row>
    <row r="109" spans="1:15" x14ac:dyDescent="0.25">
      <c r="A109" s="8" t="s">
        <v>24</v>
      </c>
      <c r="B109" s="9">
        <v>559.58000000000004</v>
      </c>
      <c r="C109" s="9">
        <v>559.58000000000004</v>
      </c>
      <c r="D109" s="9">
        <v>559.58000000000004</v>
      </c>
      <c r="E109" s="9">
        <v>559.58000000000004</v>
      </c>
      <c r="F109" s="9">
        <v>509.84</v>
      </c>
      <c r="G109" s="9">
        <v>534.71</v>
      </c>
      <c r="H109" s="9">
        <v>534.71</v>
      </c>
      <c r="I109" s="9">
        <v>580.5</v>
      </c>
      <c r="J109" s="9">
        <v>580.5</v>
      </c>
      <c r="K109" s="9">
        <v>580.5</v>
      </c>
      <c r="L109" s="9">
        <v>580.5</v>
      </c>
      <c r="M109" s="9">
        <v>580.5</v>
      </c>
      <c r="N109" s="10">
        <f>SUM(B109:M109)</f>
        <v>6720.08</v>
      </c>
      <c r="O109">
        <f>402.3*5+370.44*7</f>
        <v>4604.58</v>
      </c>
    </row>
    <row r="110" spans="1:15" x14ac:dyDescent="0.25">
      <c r="A110" s="5" t="s">
        <v>25</v>
      </c>
      <c r="B110" s="6">
        <v>4813.71</v>
      </c>
      <c r="C110" s="6">
        <v>4813.71</v>
      </c>
      <c r="D110" s="6">
        <v>4813.71</v>
      </c>
      <c r="E110" s="6">
        <v>4813.71</v>
      </c>
      <c r="F110" s="6">
        <v>4559.3900000000003</v>
      </c>
      <c r="G110" s="6">
        <v>4686.55</v>
      </c>
      <c r="H110" s="6">
        <v>4686.55</v>
      </c>
      <c r="I110" s="6"/>
      <c r="J110" s="6">
        <v>4762.6499999999996</v>
      </c>
      <c r="K110" s="6">
        <v>4762.6499999999996</v>
      </c>
      <c r="L110" s="6">
        <v>4762.6499999999996</v>
      </c>
      <c r="M110" s="6">
        <v>4762.6499999999996</v>
      </c>
      <c r="N110" s="7">
        <f t="shared" si="6"/>
        <v>52237.930000000008</v>
      </c>
    </row>
    <row r="111" spans="1:15" x14ac:dyDescent="0.25">
      <c r="A111" s="5" t="s">
        <v>26</v>
      </c>
      <c r="B111" s="6">
        <v>480</v>
      </c>
      <c r="C111" s="6">
        <v>480</v>
      </c>
      <c r="D111" s="6">
        <v>480</v>
      </c>
      <c r="E111" s="6">
        <v>480</v>
      </c>
      <c r="F111" s="6">
        <v>360</v>
      </c>
      <c r="G111" s="6">
        <v>420</v>
      </c>
      <c r="H111" s="6">
        <v>420</v>
      </c>
      <c r="I111" s="11">
        <v>420</v>
      </c>
      <c r="J111" s="6">
        <v>420</v>
      </c>
      <c r="K111" s="6">
        <v>420</v>
      </c>
      <c r="L111" s="6">
        <v>420</v>
      </c>
      <c r="M111" s="6">
        <v>420</v>
      </c>
      <c r="N111" s="7">
        <f t="shared" si="6"/>
        <v>5220</v>
      </c>
    </row>
    <row r="112" spans="1:15" x14ac:dyDescent="0.25">
      <c r="A112" s="5" t="s">
        <v>27</v>
      </c>
      <c r="B112" s="6">
        <v>1349.2</v>
      </c>
      <c r="C112" s="6">
        <v>1349.2</v>
      </c>
      <c r="D112" s="6">
        <v>1349.2</v>
      </c>
      <c r="E112" s="6">
        <v>1349.2</v>
      </c>
      <c r="F112" s="6">
        <v>1349.2</v>
      </c>
      <c r="G112" s="6">
        <v>1349.2</v>
      </c>
      <c r="H112" s="6">
        <v>1349.2</v>
      </c>
      <c r="I112" s="6"/>
      <c r="J112" s="6">
        <v>1349.2</v>
      </c>
      <c r="K112" s="6">
        <v>1349.2</v>
      </c>
      <c r="L112" s="6">
        <v>1349.2</v>
      </c>
      <c r="M112" s="6">
        <v>1349.2</v>
      </c>
      <c r="N112" s="7">
        <f t="shared" si="6"/>
        <v>14841.200000000003</v>
      </c>
    </row>
    <row r="113" spans="1:15" x14ac:dyDescent="0.25">
      <c r="A113" s="5" t="s">
        <v>28</v>
      </c>
      <c r="B113" s="6">
        <v>7486.16</v>
      </c>
      <c r="C113" s="6">
        <v>7486.16</v>
      </c>
      <c r="D113" s="6">
        <v>7486.16</v>
      </c>
      <c r="E113" s="6">
        <v>7823.46</v>
      </c>
      <c r="F113" s="6"/>
      <c r="G113" s="6">
        <v>1696.63</v>
      </c>
      <c r="H113" s="6">
        <v>7467.65</v>
      </c>
      <c r="I113" s="6"/>
      <c r="J113" s="6">
        <v>7543.75</v>
      </c>
      <c r="K113" s="6">
        <v>420</v>
      </c>
      <c r="L113" s="6">
        <v>7543.75</v>
      </c>
      <c r="M113" s="6">
        <v>7543.75</v>
      </c>
      <c r="N113" s="7">
        <f t="shared" si="6"/>
        <v>62497.47</v>
      </c>
    </row>
    <row r="115" spans="1:15" ht="15.75" x14ac:dyDescent="0.25">
      <c r="A115" s="2" t="s">
        <v>35</v>
      </c>
    </row>
    <row r="116" spans="1:15" x14ac:dyDescent="0.25">
      <c r="A116" s="3" t="s">
        <v>2</v>
      </c>
      <c r="B116" s="4" t="s">
        <v>3</v>
      </c>
      <c r="C116" s="4" t="s">
        <v>4</v>
      </c>
      <c r="D116" s="4" t="s">
        <v>5</v>
      </c>
      <c r="E116" s="4" t="s">
        <v>6</v>
      </c>
      <c r="F116" s="4" t="s">
        <v>7</v>
      </c>
      <c r="G116" s="4" t="s">
        <v>8</v>
      </c>
      <c r="H116" s="4" t="s">
        <v>9</v>
      </c>
      <c r="I116" s="4" t="s">
        <v>10</v>
      </c>
      <c r="J116" s="4" t="s">
        <v>11</v>
      </c>
      <c r="K116" s="4" t="s">
        <v>12</v>
      </c>
      <c r="L116" s="4" t="s">
        <v>13</v>
      </c>
      <c r="M116" s="4" t="s">
        <v>14</v>
      </c>
      <c r="N116" s="4" t="s">
        <v>15</v>
      </c>
    </row>
    <row r="117" spans="1:15" x14ac:dyDescent="0.25">
      <c r="A117" s="5" t="s">
        <v>16</v>
      </c>
      <c r="B117" s="6">
        <v>320.83999999999997</v>
      </c>
      <c r="C117" s="6">
        <v>320.83999999999997</v>
      </c>
      <c r="D117" s="6">
        <v>320.83999999999997</v>
      </c>
      <c r="E117" s="6">
        <v>320.83999999999997</v>
      </c>
      <c r="F117" s="6">
        <v>320.83999999999997</v>
      </c>
      <c r="G117" s="6">
        <v>320.83999999999997</v>
      </c>
      <c r="H117" s="6">
        <v>320.83999999999997</v>
      </c>
      <c r="I117" s="6">
        <v>320.83999999999997</v>
      </c>
      <c r="J117" s="6">
        <v>320.83999999999997</v>
      </c>
      <c r="K117" s="6">
        <v>320.83999999999997</v>
      </c>
      <c r="L117" s="6">
        <v>320.83999999999997</v>
      </c>
      <c r="M117" s="6">
        <v>320.83999999999997</v>
      </c>
      <c r="N117" s="7">
        <f t="shared" ref="N117:N129" si="7">SUM(B117:M117)</f>
        <v>3850.0800000000004</v>
      </c>
    </row>
    <row r="118" spans="1:15" x14ac:dyDescent="0.25">
      <c r="A118" s="8" t="s">
        <v>17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0">
        <f t="shared" si="7"/>
        <v>0</v>
      </c>
    </row>
    <row r="119" spans="1:15" x14ac:dyDescent="0.25">
      <c r="A119" s="8" t="s">
        <v>18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10">
        <f t="shared" si="7"/>
        <v>0</v>
      </c>
    </row>
    <row r="120" spans="1:15" x14ac:dyDescent="0.25">
      <c r="A120" s="8" t="s">
        <v>19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0">
        <f t="shared" si="7"/>
        <v>0</v>
      </c>
    </row>
    <row r="121" spans="1:15" x14ac:dyDescent="0.25">
      <c r="A121" s="8" t="s">
        <v>20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10">
        <f t="shared" si="7"/>
        <v>0</v>
      </c>
    </row>
    <row r="122" spans="1:15" x14ac:dyDescent="0.25">
      <c r="A122" s="8" t="s">
        <v>21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0">
        <f t="shared" si="7"/>
        <v>0</v>
      </c>
    </row>
    <row r="123" spans="1:15" x14ac:dyDescent="0.25">
      <c r="A123" s="8" t="s">
        <v>22</v>
      </c>
      <c r="B123" s="9">
        <v>146.61000000000001</v>
      </c>
      <c r="C123" s="9">
        <v>146.61000000000001</v>
      </c>
      <c r="D123" s="9">
        <v>146.61000000000001</v>
      </c>
      <c r="E123" s="9">
        <v>146.61000000000001</v>
      </c>
      <c r="F123" s="9">
        <v>146.61000000000001</v>
      </c>
      <c r="G123" s="9">
        <v>146.61000000000001</v>
      </c>
      <c r="H123" s="9">
        <v>146.61000000000001</v>
      </c>
      <c r="I123" s="9">
        <v>159.30000000000001</v>
      </c>
      <c r="J123" s="9">
        <v>159.30000000000001</v>
      </c>
      <c r="K123" s="9">
        <v>159.30000000000001</v>
      </c>
      <c r="L123" s="9">
        <v>159.30000000000001</v>
      </c>
      <c r="M123" s="9">
        <v>159.30000000000001</v>
      </c>
      <c r="N123" s="10">
        <f t="shared" si="7"/>
        <v>1822.7699999999998</v>
      </c>
      <c r="O123" s="12">
        <f>N123+N125</f>
        <v>4604.58</v>
      </c>
    </row>
    <row r="124" spans="1:15" x14ac:dyDescent="0.25">
      <c r="A124" s="8" t="s">
        <v>23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10">
        <f t="shared" si="7"/>
        <v>0</v>
      </c>
    </row>
    <row r="125" spans="1:15" x14ac:dyDescent="0.25">
      <c r="A125" s="8" t="s">
        <v>24</v>
      </c>
      <c r="B125" s="9">
        <v>223.83</v>
      </c>
      <c r="C125" s="9">
        <v>223.83</v>
      </c>
      <c r="D125" s="9">
        <v>223.83</v>
      </c>
      <c r="E125" s="9">
        <v>223.83</v>
      </c>
      <c r="F125" s="9">
        <v>223.83</v>
      </c>
      <c r="G125" s="9">
        <v>223.83</v>
      </c>
      <c r="H125" s="9">
        <v>223.83</v>
      </c>
      <c r="I125" s="9">
        <v>243</v>
      </c>
      <c r="J125" s="9">
        <v>243</v>
      </c>
      <c r="K125" s="9">
        <v>243</v>
      </c>
      <c r="L125" s="9">
        <v>243</v>
      </c>
      <c r="M125" s="9">
        <v>243</v>
      </c>
      <c r="N125" s="10">
        <f t="shared" si="7"/>
        <v>2781.81</v>
      </c>
    </row>
    <row r="126" spans="1:15" x14ac:dyDescent="0.25">
      <c r="A126" s="5" t="s">
        <v>25</v>
      </c>
      <c r="B126" s="6">
        <v>370.44</v>
      </c>
      <c r="C126" s="6">
        <v>370.44</v>
      </c>
      <c r="D126" s="6">
        <v>370.44</v>
      </c>
      <c r="E126" s="6">
        <v>370.44</v>
      </c>
      <c r="F126" s="6">
        <v>370.44</v>
      </c>
      <c r="G126" s="6">
        <v>370.44</v>
      </c>
      <c r="H126" s="6">
        <v>370.44</v>
      </c>
      <c r="I126" s="6">
        <v>402.3</v>
      </c>
      <c r="J126" s="6">
        <v>402.3</v>
      </c>
      <c r="K126" s="6">
        <v>402.3</v>
      </c>
      <c r="L126" s="6">
        <v>402.3</v>
      </c>
      <c r="M126" s="6">
        <v>402.3</v>
      </c>
      <c r="N126" s="7">
        <f t="shared" si="7"/>
        <v>4604.5800000000008</v>
      </c>
    </row>
    <row r="127" spans="1:15" x14ac:dyDescent="0.25">
      <c r="A127" s="5" t="s">
        <v>26</v>
      </c>
      <c r="B127" s="6">
        <v>240</v>
      </c>
      <c r="C127" s="6">
        <v>240</v>
      </c>
      <c r="D127" s="6">
        <v>240</v>
      </c>
      <c r="E127" s="6">
        <v>240</v>
      </c>
      <c r="F127" s="6">
        <v>240</v>
      </c>
      <c r="G127" s="6">
        <v>240</v>
      </c>
      <c r="H127" s="6">
        <v>240</v>
      </c>
      <c r="I127" s="6">
        <v>240</v>
      </c>
      <c r="J127" s="6">
        <v>240</v>
      </c>
      <c r="K127" s="6">
        <v>240</v>
      </c>
      <c r="L127" s="6">
        <v>240</v>
      </c>
      <c r="M127" s="6">
        <v>240</v>
      </c>
      <c r="N127" s="7">
        <f t="shared" si="7"/>
        <v>2880</v>
      </c>
    </row>
    <row r="128" spans="1:15" x14ac:dyDescent="0.25">
      <c r="A128" s="5" t="s">
        <v>27</v>
      </c>
      <c r="B128" s="6">
        <v>1145.8499999999999</v>
      </c>
      <c r="C128" s="6">
        <v>1145.8499999999999</v>
      </c>
      <c r="D128" s="6">
        <v>1145.8499999999999</v>
      </c>
      <c r="E128" s="6">
        <v>1145.8499999999999</v>
      </c>
      <c r="F128" s="6">
        <v>1145.8499999999999</v>
      </c>
      <c r="G128" s="6">
        <v>1145.8499999999999</v>
      </c>
      <c r="H128" s="6">
        <v>1145.8499999999999</v>
      </c>
      <c r="I128" s="6">
        <v>1145.8499999999999</v>
      </c>
      <c r="J128" s="6">
        <v>1145.8499999999999</v>
      </c>
      <c r="K128" s="6">
        <v>1145.8499999999999</v>
      </c>
      <c r="L128" s="6">
        <v>1145.8499999999999</v>
      </c>
      <c r="M128" s="6">
        <v>1145.8499999999999</v>
      </c>
      <c r="N128" s="7">
        <f t="shared" si="7"/>
        <v>13750.200000000003</v>
      </c>
    </row>
    <row r="129" spans="1:15" x14ac:dyDescent="0.25">
      <c r="A129" s="5" t="s">
        <v>28</v>
      </c>
      <c r="B129" s="6">
        <v>2077.13</v>
      </c>
      <c r="C129" s="6">
        <v>2077.13</v>
      </c>
      <c r="D129" s="6">
        <v>2077.13</v>
      </c>
      <c r="E129" s="6">
        <v>2077.13</v>
      </c>
      <c r="F129" s="6">
        <v>2030.57</v>
      </c>
      <c r="G129" s="6">
        <v>2077.13</v>
      </c>
      <c r="H129" s="6">
        <v>2077.13</v>
      </c>
      <c r="I129" s="6">
        <v>2108.9899999999998</v>
      </c>
      <c r="J129" s="6">
        <v>2108.9899999999998</v>
      </c>
      <c r="K129" s="6">
        <v>240</v>
      </c>
      <c r="L129" s="6">
        <v>2108.9899999999998</v>
      </c>
      <c r="M129" s="6">
        <v>2108.9899999999998</v>
      </c>
      <c r="N129" s="7">
        <f t="shared" si="7"/>
        <v>23169.309999999998</v>
      </c>
    </row>
    <row r="131" spans="1:15" ht="15.75" x14ac:dyDescent="0.25">
      <c r="A131" s="2" t="s">
        <v>36</v>
      </c>
    </row>
    <row r="132" spans="1:15" x14ac:dyDescent="0.25">
      <c r="A132" s="3" t="s">
        <v>2</v>
      </c>
      <c r="B132" s="4" t="s">
        <v>3</v>
      </c>
      <c r="C132" s="4" t="s">
        <v>4</v>
      </c>
      <c r="D132" s="4" t="s">
        <v>5</v>
      </c>
      <c r="E132" s="4" t="s">
        <v>6</v>
      </c>
      <c r="F132" s="4" t="s">
        <v>7</v>
      </c>
      <c r="G132" s="4" t="s">
        <v>8</v>
      </c>
      <c r="H132" s="4" t="s">
        <v>9</v>
      </c>
      <c r="I132" s="4" t="s">
        <v>10</v>
      </c>
      <c r="J132" s="4" t="s">
        <v>11</v>
      </c>
      <c r="K132" s="4" t="s">
        <v>12</v>
      </c>
      <c r="L132" s="4" t="s">
        <v>13</v>
      </c>
      <c r="M132" s="4" t="s">
        <v>14</v>
      </c>
      <c r="N132" s="4" t="s">
        <v>15</v>
      </c>
    </row>
    <row r="133" spans="1:15" x14ac:dyDescent="0.25">
      <c r="A133" s="5" t="s">
        <v>16</v>
      </c>
      <c r="B133" s="6">
        <v>3375.89</v>
      </c>
      <c r="C133" s="6">
        <v>3375.89</v>
      </c>
      <c r="D133" s="6">
        <v>3375.89</v>
      </c>
      <c r="E133" s="6">
        <v>3375.89</v>
      </c>
      <c r="F133" s="6">
        <v>3375.89</v>
      </c>
      <c r="G133" s="6">
        <v>3375.89</v>
      </c>
      <c r="H133" s="6">
        <v>3375.89</v>
      </c>
      <c r="I133" s="6">
        <v>3375.89</v>
      </c>
      <c r="J133" s="6">
        <v>3375.89</v>
      </c>
      <c r="K133" s="6">
        <v>3375.89</v>
      </c>
      <c r="L133" s="6">
        <v>3375.89</v>
      </c>
      <c r="M133" s="6">
        <v>3375.89</v>
      </c>
      <c r="N133" s="7">
        <f t="shared" ref="N133:N145" si="8">SUM(B133:M133)</f>
        <v>40510.68</v>
      </c>
    </row>
    <row r="134" spans="1:15" x14ac:dyDescent="0.25">
      <c r="A134" s="8" t="s">
        <v>17</v>
      </c>
      <c r="B134" s="9">
        <v>6251.65</v>
      </c>
      <c r="C134" s="9">
        <v>6251.65</v>
      </c>
      <c r="D134" s="9">
        <v>6251.65</v>
      </c>
      <c r="E134" s="9">
        <v>6251.65</v>
      </c>
      <c r="F134" s="9">
        <v>6251.65</v>
      </c>
      <c r="G134" s="9">
        <v>6251.65</v>
      </c>
      <c r="H134" s="9">
        <v>6251.65</v>
      </c>
      <c r="I134" s="9">
        <v>6251.65</v>
      </c>
      <c r="J134" s="9">
        <v>6251.65</v>
      </c>
      <c r="K134" s="9">
        <v>6251.65</v>
      </c>
      <c r="L134" s="9">
        <v>6251.65</v>
      </c>
      <c r="M134" s="9">
        <v>6251.65</v>
      </c>
      <c r="N134" s="10">
        <f t="shared" si="8"/>
        <v>75019.8</v>
      </c>
    </row>
    <row r="135" spans="1:15" x14ac:dyDescent="0.25">
      <c r="A135" s="8" t="s">
        <v>18</v>
      </c>
      <c r="B135" s="9">
        <v>875.23</v>
      </c>
      <c r="C135" s="9">
        <v>875.23</v>
      </c>
      <c r="D135" s="9">
        <v>875.23</v>
      </c>
      <c r="E135" s="9">
        <v>875.23</v>
      </c>
      <c r="F135" s="9">
        <v>875.23</v>
      </c>
      <c r="G135" s="9">
        <v>875.23</v>
      </c>
      <c r="H135" s="9">
        <v>875.23</v>
      </c>
      <c r="I135" s="9">
        <v>875.23</v>
      </c>
      <c r="J135" s="9">
        <v>875.23</v>
      </c>
      <c r="K135" s="9">
        <v>875.23</v>
      </c>
      <c r="L135" s="9">
        <v>875.23</v>
      </c>
      <c r="M135" s="9">
        <v>875.23</v>
      </c>
      <c r="N135" s="10">
        <f t="shared" si="8"/>
        <v>10502.759999999997</v>
      </c>
    </row>
    <row r="136" spans="1:15" x14ac:dyDescent="0.25">
      <c r="A136" s="8" t="s">
        <v>19</v>
      </c>
      <c r="C136" s="9"/>
      <c r="D136" s="9"/>
      <c r="E136" s="9"/>
      <c r="F136" s="9"/>
      <c r="G136" s="9"/>
      <c r="H136" s="9"/>
      <c r="J136" s="9"/>
      <c r="L136" s="9"/>
      <c r="M136" s="9"/>
      <c r="N136" s="10">
        <f t="shared" si="8"/>
        <v>0</v>
      </c>
    </row>
    <row r="137" spans="1:15" x14ac:dyDescent="0.25">
      <c r="A137" s="8" t="s">
        <v>20</v>
      </c>
      <c r="B137" s="9">
        <v>4740</v>
      </c>
      <c r="C137" s="9">
        <v>4740</v>
      </c>
      <c r="D137" s="9">
        <v>4740</v>
      </c>
      <c r="E137" s="9">
        <v>4720</v>
      </c>
      <c r="F137" s="9">
        <v>4720</v>
      </c>
      <c r="G137" s="9">
        <v>4560</v>
      </c>
      <c r="H137" s="9">
        <v>4560</v>
      </c>
      <c r="I137" s="9">
        <v>4560</v>
      </c>
      <c r="J137" s="9">
        <v>4880</v>
      </c>
      <c r="K137" s="9">
        <v>4880</v>
      </c>
      <c r="L137" s="9">
        <v>4800</v>
      </c>
      <c r="M137" s="9">
        <v>4720</v>
      </c>
      <c r="N137" s="10">
        <f>SUM(B137:M137)</f>
        <v>56620</v>
      </c>
      <c r="O137" s="12"/>
    </row>
    <row r="138" spans="1:15" x14ac:dyDescent="0.25">
      <c r="A138" s="13" t="s">
        <v>21</v>
      </c>
      <c r="B138" s="14"/>
      <c r="C138" s="11"/>
      <c r="D138" s="11"/>
      <c r="E138" s="11"/>
      <c r="F138" s="11"/>
      <c r="G138" s="11"/>
      <c r="H138" s="11"/>
      <c r="I138" s="14"/>
      <c r="J138" s="11"/>
      <c r="K138" s="14"/>
      <c r="L138" s="11"/>
      <c r="M138" s="11"/>
      <c r="N138" s="15">
        <f t="shared" si="8"/>
        <v>0</v>
      </c>
    </row>
    <row r="139" spans="1:15" x14ac:dyDescent="0.25">
      <c r="A139" s="13" t="s">
        <v>22</v>
      </c>
      <c r="B139" s="11">
        <v>1229.9000000000001</v>
      </c>
      <c r="C139" s="11">
        <v>1229.9000000000001</v>
      </c>
      <c r="D139" s="11">
        <v>1229.9000000000001</v>
      </c>
      <c r="E139" s="11">
        <v>1227.18</v>
      </c>
      <c r="F139" s="11">
        <v>1227.18</v>
      </c>
      <c r="G139" s="11">
        <v>1194.5999999999999</v>
      </c>
      <c r="H139" s="11">
        <v>1194.5999999999999</v>
      </c>
      <c r="I139" s="11">
        <v>1298</v>
      </c>
      <c r="J139" s="11">
        <v>1392.4</v>
      </c>
      <c r="K139" s="11">
        <v>1392.4</v>
      </c>
      <c r="L139" s="11">
        <v>1357</v>
      </c>
      <c r="M139" s="11">
        <v>1339.3</v>
      </c>
      <c r="N139" s="15">
        <f>SUM(B139:M139)</f>
        <v>15312.359999999999</v>
      </c>
      <c r="O139" t="s">
        <v>47</v>
      </c>
    </row>
    <row r="140" spans="1:15" x14ac:dyDescent="0.25">
      <c r="A140" s="13" t="s">
        <v>23</v>
      </c>
      <c r="B140" s="11">
        <v>1877.69</v>
      </c>
      <c r="C140" s="9">
        <v>1877.69</v>
      </c>
      <c r="D140" s="9">
        <v>1877.69</v>
      </c>
      <c r="E140" s="9">
        <v>1873.54</v>
      </c>
      <c r="F140" s="9">
        <v>1873.54</v>
      </c>
      <c r="G140" s="9">
        <v>1823.8</v>
      </c>
      <c r="H140" s="9">
        <v>1823.8</v>
      </c>
      <c r="I140" s="11">
        <v>1980</v>
      </c>
      <c r="J140" s="9">
        <v>2124</v>
      </c>
      <c r="K140" s="11">
        <v>2124</v>
      </c>
      <c r="L140" s="9">
        <v>2070</v>
      </c>
      <c r="M140" s="9">
        <v>2043</v>
      </c>
      <c r="N140" s="15">
        <f>SUM(B140:M140)</f>
        <v>23368.75</v>
      </c>
      <c r="O140" s="16">
        <f>N139+N140</f>
        <v>38681.11</v>
      </c>
    </row>
    <row r="141" spans="1:15" x14ac:dyDescent="0.25">
      <c r="A141" s="8" t="s">
        <v>24</v>
      </c>
      <c r="B141" s="9"/>
      <c r="I141" s="9"/>
      <c r="K141" s="9"/>
      <c r="N141" s="10">
        <f t="shared" si="8"/>
        <v>0</v>
      </c>
    </row>
    <row r="142" spans="1:15" x14ac:dyDescent="0.25">
      <c r="A142" s="5" t="s">
        <v>25</v>
      </c>
      <c r="B142" s="6">
        <v>14974.47</v>
      </c>
      <c r="C142" s="6">
        <v>14974.47</v>
      </c>
      <c r="D142" s="6">
        <v>14974.47</v>
      </c>
      <c r="E142" s="6">
        <v>14947.6</v>
      </c>
      <c r="F142" s="6">
        <v>14947.6</v>
      </c>
      <c r="G142" s="6">
        <v>14705.28</v>
      </c>
      <c r="H142" s="6">
        <v>14705.28</v>
      </c>
      <c r="I142" s="6">
        <v>14964.88</v>
      </c>
      <c r="J142" s="6">
        <v>15523.28</v>
      </c>
      <c r="K142" s="6">
        <v>15523.28</v>
      </c>
      <c r="L142" s="6">
        <v>15353.88</v>
      </c>
      <c r="M142" s="6">
        <v>15229.18</v>
      </c>
      <c r="N142" s="7">
        <f t="shared" si="8"/>
        <v>180823.67</v>
      </c>
    </row>
    <row r="143" spans="1:15" x14ac:dyDescent="0.25">
      <c r="A143" s="5" t="s">
        <v>26</v>
      </c>
      <c r="B143" s="6">
        <v>1800</v>
      </c>
      <c r="C143" s="6">
        <v>1800</v>
      </c>
      <c r="D143" s="6">
        <v>1800</v>
      </c>
      <c r="E143" s="6">
        <v>1740</v>
      </c>
      <c r="F143" s="6">
        <v>1740</v>
      </c>
      <c r="G143" s="6">
        <v>1680</v>
      </c>
      <c r="H143" s="6">
        <v>1680</v>
      </c>
      <c r="I143" s="6">
        <v>1680</v>
      </c>
      <c r="J143" s="6">
        <v>1680</v>
      </c>
      <c r="K143" s="6">
        <v>1680</v>
      </c>
      <c r="L143" s="6">
        <v>1620</v>
      </c>
      <c r="M143" s="6">
        <v>1620</v>
      </c>
      <c r="N143" s="7">
        <f t="shared" si="8"/>
        <v>20520</v>
      </c>
    </row>
    <row r="144" spans="1:15" x14ac:dyDescent="0.25">
      <c r="A144" s="5" t="s">
        <v>27</v>
      </c>
      <c r="B144" s="6">
        <v>3750.99</v>
      </c>
      <c r="C144" s="6">
        <v>3750.99</v>
      </c>
      <c r="D144" s="6">
        <v>3750.99</v>
      </c>
      <c r="E144" s="6">
        <v>3750.99</v>
      </c>
      <c r="F144" s="6">
        <v>13128.47</v>
      </c>
      <c r="G144" s="6">
        <v>6876.82</v>
      </c>
      <c r="H144" s="6">
        <v>6876.82</v>
      </c>
      <c r="I144" s="6">
        <v>6876.82</v>
      </c>
      <c r="J144" s="6">
        <v>6876.82</v>
      </c>
      <c r="K144" s="6">
        <v>6876.82</v>
      </c>
      <c r="L144" s="6">
        <v>6876.82</v>
      </c>
      <c r="M144" s="6">
        <v>6876.82</v>
      </c>
      <c r="N144" s="7">
        <f t="shared" si="8"/>
        <v>76270.170000000013</v>
      </c>
    </row>
    <row r="145" spans="1:14" x14ac:dyDescent="0.25">
      <c r="A145" s="5" t="s">
        <v>28</v>
      </c>
      <c r="B145" s="6">
        <v>23901.35</v>
      </c>
      <c r="C145" s="6">
        <v>23901.35</v>
      </c>
      <c r="D145" s="6">
        <v>23901.35</v>
      </c>
      <c r="E145" s="6">
        <v>23814.48</v>
      </c>
      <c r="F145" s="6">
        <v>33191.96</v>
      </c>
      <c r="G145" s="6">
        <v>-6923.61</v>
      </c>
      <c r="H145" s="6">
        <v>19714.38</v>
      </c>
      <c r="I145" s="6">
        <v>26897.59</v>
      </c>
      <c r="J145" s="6">
        <v>27455.99</v>
      </c>
      <c r="K145" s="6">
        <v>1680</v>
      </c>
      <c r="L145" s="6">
        <v>27226.59</v>
      </c>
      <c r="M145" s="6">
        <v>27101.89</v>
      </c>
      <c r="N145" s="7">
        <f t="shared" si="8"/>
        <v>251863.31999999995</v>
      </c>
    </row>
    <row r="147" spans="1:14" ht="15.75" x14ac:dyDescent="0.25">
      <c r="A147" s="2" t="s">
        <v>37</v>
      </c>
    </row>
    <row r="148" spans="1:14" x14ac:dyDescent="0.25">
      <c r="A148" s="3" t="s">
        <v>2</v>
      </c>
      <c r="B148" s="4" t="s">
        <v>3</v>
      </c>
      <c r="C148" s="4" t="s">
        <v>4</v>
      </c>
      <c r="D148" s="4" t="s">
        <v>5</v>
      </c>
      <c r="E148" s="4" t="s">
        <v>6</v>
      </c>
      <c r="F148" s="4" t="s">
        <v>7</v>
      </c>
      <c r="G148" s="4" t="s">
        <v>8</v>
      </c>
      <c r="H148" s="4" t="s">
        <v>9</v>
      </c>
      <c r="I148" s="4" t="s">
        <v>10</v>
      </c>
      <c r="J148" s="4" t="s">
        <v>11</v>
      </c>
      <c r="K148" s="4" t="s">
        <v>12</v>
      </c>
      <c r="L148" s="4" t="s">
        <v>13</v>
      </c>
      <c r="M148" s="4" t="s">
        <v>14</v>
      </c>
      <c r="N148" s="4" t="s">
        <v>15</v>
      </c>
    </row>
    <row r="149" spans="1:14" x14ac:dyDescent="0.25">
      <c r="A149" s="5" t="s">
        <v>16</v>
      </c>
      <c r="B149" s="6">
        <v>1155.1199999999999</v>
      </c>
      <c r="C149" s="6">
        <v>1155.1199999999999</v>
      </c>
      <c r="D149" s="6">
        <v>1155.1199999999999</v>
      </c>
      <c r="E149" s="6">
        <v>1155.1199999999999</v>
      </c>
      <c r="F149" s="6">
        <v>1155.1199999999999</v>
      </c>
      <c r="G149" s="6">
        <v>1155.1199999999999</v>
      </c>
      <c r="H149" s="6">
        <v>1501.65</v>
      </c>
      <c r="I149" s="6">
        <v>1270.6300000000001</v>
      </c>
      <c r="J149" s="6">
        <v>1270.6300000000001</v>
      </c>
      <c r="K149" s="6">
        <v>1270.6300000000001</v>
      </c>
      <c r="L149" s="6">
        <v>1270.6300000000001</v>
      </c>
      <c r="M149" s="6">
        <v>1270.6300000000001</v>
      </c>
      <c r="N149" s="7">
        <f t="shared" ref="N149:N161" si="9">SUM(B149:M149)</f>
        <v>14785.520000000004</v>
      </c>
    </row>
    <row r="150" spans="1:14" x14ac:dyDescent="0.25">
      <c r="A150" s="8" t="s">
        <v>17</v>
      </c>
      <c r="B150" s="9">
        <v>2887.8</v>
      </c>
      <c r="C150" s="9">
        <v>2887.8</v>
      </c>
      <c r="D150" s="9">
        <v>2887.8</v>
      </c>
      <c r="E150" s="9">
        <v>2887.8</v>
      </c>
      <c r="F150" s="9">
        <v>2887.8</v>
      </c>
      <c r="G150" s="9">
        <v>2887.8</v>
      </c>
      <c r="H150" s="9">
        <v>2887.8</v>
      </c>
      <c r="I150" s="9">
        <v>2887.8</v>
      </c>
      <c r="J150" s="9">
        <v>2887.8</v>
      </c>
      <c r="K150" s="9">
        <v>2887.8</v>
      </c>
      <c r="L150" s="9">
        <v>2887.8</v>
      </c>
      <c r="M150" s="9">
        <v>2887.8</v>
      </c>
      <c r="N150" s="10">
        <f t="shared" si="9"/>
        <v>34653.599999999999</v>
      </c>
    </row>
    <row r="151" spans="1:14" x14ac:dyDescent="0.25">
      <c r="A151" s="8" t="s">
        <v>18</v>
      </c>
      <c r="B151" s="9">
        <v>404.29</v>
      </c>
      <c r="C151" s="9">
        <v>404.29</v>
      </c>
      <c r="D151" s="9">
        <v>404.29</v>
      </c>
      <c r="E151" s="9">
        <v>404.29</v>
      </c>
      <c r="F151" s="9">
        <v>404.29</v>
      </c>
      <c r="G151" s="9">
        <v>404.29</v>
      </c>
      <c r="H151" s="9">
        <v>404.29</v>
      </c>
      <c r="I151" s="9">
        <v>404.29</v>
      </c>
      <c r="J151" s="9">
        <v>404.29</v>
      </c>
      <c r="K151" s="9">
        <v>404.29</v>
      </c>
      <c r="L151" s="9">
        <v>404.29</v>
      </c>
      <c r="M151" s="9">
        <v>404.29</v>
      </c>
      <c r="N151" s="10">
        <f t="shared" si="9"/>
        <v>4851.4800000000005</v>
      </c>
    </row>
    <row r="152" spans="1:14" x14ac:dyDescent="0.25">
      <c r="A152" s="8" t="s">
        <v>19</v>
      </c>
      <c r="B152" s="9">
        <v>1388.8</v>
      </c>
      <c r="C152" s="9">
        <v>2228.8000000000002</v>
      </c>
      <c r="D152" s="9">
        <v>2228.8000000000002</v>
      </c>
      <c r="E152" s="9">
        <v>2091.1999999999998</v>
      </c>
      <c r="F152" s="9"/>
      <c r="G152" s="9">
        <v>2091.1999999999998</v>
      </c>
      <c r="H152" s="9">
        <v>2091.1999999999998</v>
      </c>
      <c r="I152" s="9">
        <v>2171.1999999999998</v>
      </c>
      <c r="J152" s="9">
        <v>1540</v>
      </c>
      <c r="K152" s="9">
        <v>1620</v>
      </c>
      <c r="L152" s="9">
        <v>1659.2</v>
      </c>
      <c r="M152" s="9">
        <v>1659.2</v>
      </c>
      <c r="N152" s="10">
        <f t="shared" si="9"/>
        <v>20769.600000000002</v>
      </c>
    </row>
    <row r="153" spans="1:14" x14ac:dyDescent="0.25">
      <c r="A153" s="8" t="s">
        <v>20</v>
      </c>
      <c r="B153" s="9"/>
      <c r="C153" s="9"/>
      <c r="D153" s="9"/>
      <c r="E153" s="9"/>
      <c r="F153" s="9">
        <v>2091.1999999999998</v>
      </c>
      <c r="G153" s="9"/>
      <c r="H153" s="9"/>
      <c r="I153" s="9"/>
      <c r="J153" s="9"/>
      <c r="K153" s="9"/>
      <c r="L153" s="9"/>
      <c r="M153" s="9"/>
      <c r="N153" s="10">
        <f t="shared" si="9"/>
        <v>2091.1999999999998</v>
      </c>
    </row>
    <row r="154" spans="1:14" x14ac:dyDescent="0.25">
      <c r="A154" s="8" t="s">
        <v>21</v>
      </c>
      <c r="B154" s="9">
        <v>589.16</v>
      </c>
      <c r="C154" s="9">
        <v>589.16</v>
      </c>
      <c r="D154" s="9">
        <v>589.16</v>
      </c>
      <c r="E154" s="9">
        <v>529.42999999999995</v>
      </c>
      <c r="F154" s="9"/>
      <c r="G154" s="9">
        <v>529.42999999999995</v>
      </c>
      <c r="H154" s="9">
        <v>529.42999999999995</v>
      </c>
      <c r="I154" s="9">
        <v>597.91</v>
      </c>
      <c r="J154" s="9">
        <v>465.7</v>
      </c>
      <c r="K154" s="9">
        <v>489.7</v>
      </c>
      <c r="L154" s="9">
        <v>504.45</v>
      </c>
      <c r="M154" s="9"/>
      <c r="N154" s="10">
        <f t="shared" si="9"/>
        <v>5413.5299999999988</v>
      </c>
    </row>
    <row r="155" spans="1:14" x14ac:dyDescent="0.25">
      <c r="A155" s="8" t="s">
        <v>22</v>
      </c>
      <c r="B155" s="9"/>
      <c r="C155" s="9"/>
      <c r="D155" s="9"/>
      <c r="E155" s="9"/>
      <c r="F155" s="9">
        <v>529.42999999999995</v>
      </c>
      <c r="G155" s="9"/>
      <c r="H155" s="9"/>
      <c r="I155" s="9"/>
      <c r="J155" s="9"/>
      <c r="K155" s="9"/>
      <c r="L155" s="9"/>
      <c r="M155" s="9">
        <v>504.45</v>
      </c>
      <c r="N155" s="10">
        <f t="shared" si="9"/>
        <v>1033.8799999999999</v>
      </c>
    </row>
    <row r="156" spans="1:14" x14ac:dyDescent="0.25">
      <c r="A156" s="8" t="s">
        <v>23</v>
      </c>
      <c r="B156" s="9">
        <v>899.47</v>
      </c>
      <c r="C156" s="9">
        <v>899.47</v>
      </c>
      <c r="D156" s="9">
        <v>899.47</v>
      </c>
      <c r="E156" s="9">
        <v>808.28</v>
      </c>
      <c r="F156" s="9"/>
      <c r="G156" s="9">
        <v>808.28</v>
      </c>
      <c r="H156" s="9">
        <v>808.28</v>
      </c>
      <c r="I156" s="9">
        <v>912.08</v>
      </c>
      <c r="J156" s="9">
        <v>711</v>
      </c>
      <c r="K156" s="9">
        <v>747</v>
      </c>
      <c r="L156" s="9">
        <v>769.5</v>
      </c>
      <c r="M156" s="9"/>
      <c r="N156" s="10">
        <f t="shared" si="9"/>
        <v>8262.8299999999981</v>
      </c>
    </row>
    <row r="157" spans="1:14" x14ac:dyDescent="0.25">
      <c r="A157" s="8" t="s">
        <v>24</v>
      </c>
      <c r="B157" s="9"/>
      <c r="C157" s="9"/>
      <c r="D157" s="9"/>
      <c r="E157" s="9"/>
      <c r="F157" s="9">
        <v>808.28</v>
      </c>
      <c r="G157" s="9"/>
      <c r="H157" s="9"/>
      <c r="I157" s="9"/>
      <c r="J157" s="9"/>
      <c r="K157" s="9"/>
      <c r="L157" s="9"/>
      <c r="M157" s="9">
        <v>769.5</v>
      </c>
      <c r="N157" s="10">
        <f t="shared" si="9"/>
        <v>1577.78</v>
      </c>
    </row>
    <row r="158" spans="1:14" x14ac:dyDescent="0.25">
      <c r="A158" s="5" t="s">
        <v>25</v>
      </c>
      <c r="B158" s="6">
        <v>7009.52</v>
      </c>
      <c r="C158" s="6">
        <v>7009.52</v>
      </c>
      <c r="D158" s="6">
        <v>7009.52</v>
      </c>
      <c r="E158" s="6">
        <v>-9711.86</v>
      </c>
      <c r="F158" s="6">
        <v>6721</v>
      </c>
      <c r="G158" s="6">
        <v>6040.38</v>
      </c>
      <c r="H158" s="6">
        <v>6721</v>
      </c>
      <c r="I158" s="6">
        <v>6973.28</v>
      </c>
      <c r="J158" s="6">
        <v>6009.19</v>
      </c>
      <c r="K158" s="6">
        <v>6148.79</v>
      </c>
      <c r="L158" s="6">
        <v>6225.24</v>
      </c>
      <c r="M158" s="6">
        <v>6225.24</v>
      </c>
      <c r="N158" s="7">
        <f t="shared" si="9"/>
        <v>62380.82</v>
      </c>
    </row>
    <row r="159" spans="1:14" x14ac:dyDescent="0.25">
      <c r="A159" s="5" t="s">
        <v>26</v>
      </c>
      <c r="B159" s="6">
        <v>840</v>
      </c>
      <c r="C159" s="6">
        <v>840</v>
      </c>
      <c r="D159" s="6">
        <v>840</v>
      </c>
      <c r="E159" s="6">
        <v>840</v>
      </c>
      <c r="F159" s="6">
        <v>840</v>
      </c>
      <c r="G159" s="6">
        <v>840</v>
      </c>
      <c r="H159" s="6">
        <v>840</v>
      </c>
      <c r="I159" s="6">
        <v>840</v>
      </c>
      <c r="J159" s="6">
        <v>720</v>
      </c>
      <c r="K159" s="6">
        <v>780</v>
      </c>
      <c r="L159" s="6">
        <v>780</v>
      </c>
      <c r="M159" s="6">
        <v>780</v>
      </c>
      <c r="N159" s="7">
        <f t="shared" si="9"/>
        <v>9780</v>
      </c>
    </row>
    <row r="160" spans="1:14" x14ac:dyDescent="0.25">
      <c r="A160" s="5" t="s">
        <v>27</v>
      </c>
      <c r="B160" s="6">
        <v>1155.1199999999999</v>
      </c>
      <c r="C160" s="6">
        <v>1155.1199999999999</v>
      </c>
      <c r="D160" s="6">
        <v>1155.1199999999999</v>
      </c>
      <c r="E160" s="6">
        <v>1155.1199999999999</v>
      </c>
      <c r="F160" s="6">
        <v>1155.1199999999999</v>
      </c>
      <c r="G160" s="6">
        <v>1155.1199999999999</v>
      </c>
      <c r="H160" s="6">
        <v>2021.46</v>
      </c>
      <c r="I160" s="6">
        <v>1443.9</v>
      </c>
      <c r="J160" s="6">
        <v>1443.9</v>
      </c>
      <c r="K160" s="6">
        <v>1443.9</v>
      </c>
      <c r="L160" s="6">
        <v>1443.9</v>
      </c>
      <c r="M160" s="6">
        <v>1443.9</v>
      </c>
      <c r="N160" s="7">
        <f t="shared" si="9"/>
        <v>16171.679999999998</v>
      </c>
    </row>
    <row r="161" spans="1:15" x14ac:dyDescent="0.25">
      <c r="A161" s="5" t="s">
        <v>28</v>
      </c>
      <c r="B161" s="6">
        <v>10159.76</v>
      </c>
      <c r="C161" s="6">
        <v>10159.76</v>
      </c>
      <c r="D161" s="6">
        <v>10159.76</v>
      </c>
      <c r="E161" s="6">
        <v>1995.12</v>
      </c>
      <c r="F161" s="6">
        <v>1995.12</v>
      </c>
      <c r="G161" s="6">
        <v>9190.6200000000008</v>
      </c>
      <c r="H161" s="6">
        <v>11084.11</v>
      </c>
      <c r="I161" s="6">
        <v>10527.81</v>
      </c>
      <c r="J161" s="6">
        <v>3109.6</v>
      </c>
      <c r="K161" s="6">
        <v>780</v>
      </c>
      <c r="L161" s="6">
        <v>9719.77</v>
      </c>
      <c r="M161" s="6">
        <v>9719.77</v>
      </c>
      <c r="N161" s="7">
        <f t="shared" si="9"/>
        <v>88601.200000000012</v>
      </c>
    </row>
    <row r="163" spans="1:15" ht="15.75" x14ac:dyDescent="0.25">
      <c r="A163" s="2" t="s">
        <v>38</v>
      </c>
    </row>
    <row r="164" spans="1:15" x14ac:dyDescent="0.25">
      <c r="A164" s="3" t="s">
        <v>2</v>
      </c>
      <c r="B164" s="4" t="s">
        <v>3</v>
      </c>
      <c r="C164" s="4" t="s">
        <v>4</v>
      </c>
      <c r="D164" s="4" t="s">
        <v>5</v>
      </c>
      <c r="E164" s="4" t="s">
        <v>6</v>
      </c>
      <c r="F164" s="4" t="s">
        <v>7</v>
      </c>
      <c r="G164" s="4" t="s">
        <v>8</v>
      </c>
      <c r="H164" s="4" t="s">
        <v>9</v>
      </c>
      <c r="I164" s="4" t="s">
        <v>10</v>
      </c>
      <c r="J164" s="4" t="s">
        <v>11</v>
      </c>
      <c r="K164" s="4" t="s">
        <v>12</v>
      </c>
      <c r="L164" s="4" t="s">
        <v>13</v>
      </c>
      <c r="M164" s="4" t="s">
        <v>14</v>
      </c>
      <c r="N164" s="4" t="s">
        <v>15</v>
      </c>
    </row>
    <row r="165" spans="1:15" x14ac:dyDescent="0.25">
      <c r="A165" s="5" t="s">
        <v>16</v>
      </c>
      <c r="B165" s="6">
        <v>379.08</v>
      </c>
      <c r="C165" s="6">
        <v>379.08</v>
      </c>
      <c r="D165" s="6">
        <v>379.08</v>
      </c>
      <c r="E165" s="6">
        <v>379.08</v>
      </c>
      <c r="F165" s="6">
        <v>379.08</v>
      </c>
      <c r="G165" s="6">
        <v>379.08</v>
      </c>
      <c r="H165" s="6">
        <v>379.08</v>
      </c>
      <c r="I165" s="6">
        <v>379.08</v>
      </c>
      <c r="J165" s="6">
        <v>379.08</v>
      </c>
      <c r="K165" s="6">
        <v>379.08</v>
      </c>
      <c r="L165" s="6">
        <v>379.08</v>
      </c>
      <c r="M165" s="6">
        <v>379.08</v>
      </c>
      <c r="N165" s="7">
        <f t="shared" ref="N165:N177" si="10">SUM(B165:M165)</f>
        <v>4548.96</v>
      </c>
    </row>
    <row r="166" spans="1:15" x14ac:dyDescent="0.25">
      <c r="A166" s="8" t="s">
        <v>17</v>
      </c>
      <c r="B166" s="9">
        <v>631.79999999999995</v>
      </c>
      <c r="C166" s="9">
        <v>631.79999999999995</v>
      </c>
      <c r="D166" s="9">
        <v>631.79999999999995</v>
      </c>
      <c r="E166" s="9">
        <v>631.79999999999995</v>
      </c>
      <c r="F166" s="9">
        <v>631.79999999999995</v>
      </c>
      <c r="G166" s="9">
        <v>631.79999999999995</v>
      </c>
      <c r="H166" s="9">
        <v>631.79999999999995</v>
      </c>
      <c r="I166" s="9">
        <v>631.79999999999995</v>
      </c>
      <c r="J166" s="9">
        <v>631.79999999999995</v>
      </c>
      <c r="K166" s="9">
        <v>631.79999999999995</v>
      </c>
      <c r="L166" s="9">
        <v>631.79999999999995</v>
      </c>
      <c r="M166" s="9">
        <v>631.79999999999995</v>
      </c>
      <c r="N166" s="10">
        <f t="shared" si="10"/>
        <v>7581.6000000000013</v>
      </c>
    </row>
    <row r="167" spans="1:15" x14ac:dyDescent="0.25">
      <c r="A167" s="8" t="s">
        <v>18</v>
      </c>
      <c r="B167" s="9">
        <v>98.28</v>
      </c>
      <c r="C167" s="9">
        <v>98.28</v>
      </c>
      <c r="D167" s="9">
        <v>98.28</v>
      </c>
      <c r="E167" s="9">
        <v>98.28</v>
      </c>
      <c r="F167" s="9">
        <v>98.28</v>
      </c>
      <c r="G167" s="9">
        <v>98.28</v>
      </c>
      <c r="H167" s="9">
        <v>98.28</v>
      </c>
      <c r="I167" s="9">
        <v>98.28</v>
      </c>
      <c r="J167" s="9">
        <v>98.28</v>
      </c>
      <c r="K167" s="9">
        <v>98.28</v>
      </c>
      <c r="L167" s="9">
        <v>98.28</v>
      </c>
      <c r="M167" s="9">
        <v>98.28</v>
      </c>
      <c r="N167" s="10">
        <f t="shared" si="10"/>
        <v>1179.3599999999999</v>
      </c>
    </row>
    <row r="168" spans="1:15" x14ac:dyDescent="0.25">
      <c r="A168" s="8" t="s">
        <v>19</v>
      </c>
      <c r="C168" s="9"/>
      <c r="E168" s="9"/>
      <c r="F168" s="9"/>
      <c r="G168" s="9"/>
      <c r="H168" s="9"/>
      <c r="I168" s="9"/>
      <c r="J168" s="9"/>
      <c r="M168" s="9"/>
      <c r="N168" s="10">
        <f t="shared" si="10"/>
        <v>0</v>
      </c>
    </row>
    <row r="169" spans="1:15" x14ac:dyDescent="0.25">
      <c r="A169" s="8" t="s">
        <v>20</v>
      </c>
      <c r="B169" s="9">
        <v>458.4</v>
      </c>
      <c r="C169" s="9">
        <v>458.4</v>
      </c>
      <c r="D169" s="9">
        <v>458.4</v>
      </c>
      <c r="E169" s="9">
        <v>458.4</v>
      </c>
      <c r="F169" s="9">
        <v>458.4</v>
      </c>
      <c r="G169" s="9">
        <v>458.4</v>
      </c>
      <c r="H169" s="9">
        <v>458.4</v>
      </c>
      <c r="I169" s="9">
        <v>458.4</v>
      </c>
      <c r="J169" s="9">
        <v>458.4</v>
      </c>
      <c r="K169" s="9">
        <v>458.4</v>
      </c>
      <c r="L169" s="9">
        <v>458.4</v>
      </c>
      <c r="M169" s="9">
        <v>458.4</v>
      </c>
      <c r="N169" s="10">
        <f>SUM(B169:M169)</f>
        <v>5500.7999999999993</v>
      </c>
      <c r="O169" s="12">
        <f>SUM(H169:M169)</f>
        <v>2750.4</v>
      </c>
    </row>
    <row r="170" spans="1:15" x14ac:dyDescent="0.25">
      <c r="A170" s="8" t="s">
        <v>21</v>
      </c>
      <c r="E170" s="9"/>
      <c r="F170" s="9"/>
      <c r="G170" s="9"/>
      <c r="H170" s="9"/>
      <c r="I170" s="9"/>
      <c r="J170" s="9"/>
      <c r="M170" s="9"/>
      <c r="N170" s="10">
        <f t="shared" si="10"/>
        <v>0</v>
      </c>
    </row>
    <row r="171" spans="1:15" x14ac:dyDescent="0.25">
      <c r="A171" s="8" t="s">
        <v>22</v>
      </c>
      <c r="B171" s="9">
        <v>127.61</v>
      </c>
      <c r="C171" s="9">
        <v>127.61</v>
      </c>
      <c r="D171" s="9">
        <v>127.61</v>
      </c>
      <c r="E171" s="9">
        <v>127.61</v>
      </c>
      <c r="F171" s="9">
        <v>127.61</v>
      </c>
      <c r="G171" s="9">
        <v>127.61</v>
      </c>
      <c r="H171" s="9">
        <v>127.61</v>
      </c>
      <c r="I171" s="9">
        <v>138.65</v>
      </c>
      <c r="J171" s="9">
        <v>138.65</v>
      </c>
      <c r="K171" s="9">
        <v>138.65</v>
      </c>
      <c r="L171" s="9">
        <v>138.65</v>
      </c>
      <c r="M171" s="9">
        <v>138.65</v>
      </c>
      <c r="N171" s="10">
        <f>SUM(B171:M171)</f>
        <v>1586.5200000000004</v>
      </c>
      <c r="O171" s="12">
        <f>SUM(H171:M173)</f>
        <v>2073.1799999999998</v>
      </c>
    </row>
    <row r="172" spans="1:15" x14ac:dyDescent="0.25">
      <c r="A172" s="8" t="s">
        <v>23</v>
      </c>
      <c r="E172" s="9"/>
      <c r="F172" s="9"/>
      <c r="G172" s="9"/>
      <c r="H172" s="9"/>
      <c r="I172" s="9"/>
      <c r="J172" s="9"/>
      <c r="M172" s="9"/>
      <c r="N172" s="10">
        <f>SUM(B172:M172)</f>
        <v>0</v>
      </c>
    </row>
    <row r="173" spans="1:15" x14ac:dyDescent="0.25">
      <c r="A173" s="8" t="s">
        <v>24</v>
      </c>
      <c r="B173" s="9">
        <v>194.82</v>
      </c>
      <c r="C173" s="9">
        <v>194.82</v>
      </c>
      <c r="D173" s="9">
        <v>194.82</v>
      </c>
      <c r="E173" s="9">
        <v>194.82</v>
      </c>
      <c r="F173" s="9">
        <v>194.82</v>
      </c>
      <c r="G173" s="9">
        <v>194.82</v>
      </c>
      <c r="H173" s="9">
        <v>194.82</v>
      </c>
      <c r="I173" s="9">
        <v>211.5</v>
      </c>
      <c r="J173" s="9">
        <v>211.5</v>
      </c>
      <c r="K173" s="9">
        <v>211.5</v>
      </c>
      <c r="L173" s="9">
        <v>211.5</v>
      </c>
      <c r="M173" s="9">
        <v>211.5</v>
      </c>
      <c r="N173" s="10">
        <f>SUM(B173:M173)</f>
        <v>2421.2399999999998</v>
      </c>
    </row>
    <row r="174" spans="1:15" x14ac:dyDescent="0.25">
      <c r="A174" s="5" t="s">
        <v>25</v>
      </c>
      <c r="B174" s="6">
        <v>1510.91</v>
      </c>
      <c r="C174" s="6">
        <v>1510.91</v>
      </c>
      <c r="D174" s="6">
        <v>1510.91</v>
      </c>
      <c r="E174" s="6">
        <v>1510.91</v>
      </c>
      <c r="F174" s="6">
        <v>1510.91</v>
      </c>
      <c r="G174" s="6">
        <v>1510.91</v>
      </c>
      <c r="H174" s="6">
        <v>1510.91</v>
      </c>
      <c r="I174" s="6">
        <v>1538.63</v>
      </c>
      <c r="J174" s="6">
        <v>1538.63</v>
      </c>
      <c r="K174" s="6">
        <v>1538.63</v>
      </c>
      <c r="L174" s="6">
        <v>1538.63</v>
      </c>
      <c r="M174" s="6">
        <v>1538.63</v>
      </c>
      <c r="N174" s="7">
        <f t="shared" si="10"/>
        <v>18269.520000000004</v>
      </c>
    </row>
    <row r="175" spans="1:15" x14ac:dyDescent="0.25">
      <c r="A175" s="5" t="s">
        <v>26</v>
      </c>
      <c r="B175" s="6">
        <v>240</v>
      </c>
      <c r="C175" s="6">
        <v>240</v>
      </c>
      <c r="D175" s="6">
        <v>240</v>
      </c>
      <c r="E175" s="6">
        <v>240</v>
      </c>
      <c r="F175" s="6">
        <v>240</v>
      </c>
      <c r="G175" s="6">
        <v>240</v>
      </c>
      <c r="H175" s="6">
        <v>240</v>
      </c>
      <c r="I175" s="6">
        <v>240</v>
      </c>
      <c r="J175" s="6">
        <v>240</v>
      </c>
      <c r="K175" s="6">
        <v>240</v>
      </c>
      <c r="L175" s="6">
        <v>240</v>
      </c>
      <c r="M175" s="6">
        <v>240</v>
      </c>
      <c r="N175" s="7">
        <f t="shared" si="10"/>
        <v>2880</v>
      </c>
    </row>
    <row r="176" spans="1:15" x14ac:dyDescent="0.25">
      <c r="A176" s="5" t="s">
        <v>27</v>
      </c>
      <c r="B176" s="6">
        <v>561.6</v>
      </c>
      <c r="C176" s="6">
        <v>561.6</v>
      </c>
      <c r="D176" s="6">
        <v>561.6</v>
      </c>
      <c r="E176" s="6">
        <v>0</v>
      </c>
      <c r="F176" s="6">
        <v>280.8</v>
      </c>
      <c r="G176" s="6">
        <v>280.8</v>
      </c>
      <c r="H176" s="6">
        <v>280.8</v>
      </c>
      <c r="I176" s="6">
        <v>280.8</v>
      </c>
      <c r="J176" s="6">
        <v>280.8</v>
      </c>
      <c r="K176" s="6">
        <v>280.8</v>
      </c>
      <c r="L176" s="6">
        <v>280.8</v>
      </c>
      <c r="M176" s="6">
        <v>280.8</v>
      </c>
      <c r="N176" s="7">
        <f t="shared" si="10"/>
        <v>3931.2000000000012</v>
      </c>
    </row>
    <row r="177" spans="1:15" x14ac:dyDescent="0.25">
      <c r="A177" s="5" t="s">
        <v>28</v>
      </c>
      <c r="B177" s="6">
        <v>2691.59</v>
      </c>
      <c r="C177" s="6">
        <v>2691.59</v>
      </c>
      <c r="D177" s="6">
        <v>2691.59</v>
      </c>
      <c r="E177" s="6">
        <v>2129.9899999999998</v>
      </c>
      <c r="F177" s="6">
        <v>1747.23</v>
      </c>
      <c r="G177" s="6">
        <v>2410.79</v>
      </c>
      <c r="H177" s="6">
        <v>2410.79</v>
      </c>
      <c r="I177" s="6">
        <v>2438.5100000000002</v>
      </c>
      <c r="J177" s="6">
        <v>2438.5100000000002</v>
      </c>
      <c r="K177" s="6">
        <v>240</v>
      </c>
      <c r="L177" s="6">
        <v>2438.5100000000002</v>
      </c>
      <c r="M177" s="6">
        <v>2438.5100000000002</v>
      </c>
      <c r="N177" s="7">
        <f t="shared" si="10"/>
        <v>26767.610000000008</v>
      </c>
    </row>
    <row r="179" spans="1:15" ht="15.75" x14ac:dyDescent="0.25">
      <c r="A179" s="2" t="s">
        <v>39</v>
      </c>
    </row>
    <row r="180" spans="1:15" x14ac:dyDescent="0.25">
      <c r="A180" s="3" t="s">
        <v>2</v>
      </c>
      <c r="B180" s="4" t="s">
        <v>3</v>
      </c>
      <c r="C180" s="4" t="s">
        <v>4</v>
      </c>
      <c r="D180" s="4" t="s">
        <v>5</v>
      </c>
      <c r="E180" s="4" t="s">
        <v>6</v>
      </c>
      <c r="F180" s="4" t="s">
        <v>7</v>
      </c>
      <c r="G180" s="4" t="s">
        <v>8</v>
      </c>
      <c r="H180" s="4" t="s">
        <v>9</v>
      </c>
      <c r="I180" s="4" t="s">
        <v>10</v>
      </c>
      <c r="J180" s="4" t="s">
        <v>11</v>
      </c>
      <c r="K180" s="4" t="s">
        <v>12</v>
      </c>
      <c r="L180" s="4" t="s">
        <v>13</v>
      </c>
      <c r="M180" s="4" t="s">
        <v>14</v>
      </c>
      <c r="N180" s="4" t="s">
        <v>15</v>
      </c>
    </row>
    <row r="181" spans="1:15" x14ac:dyDescent="0.25">
      <c r="A181" s="5" t="s">
        <v>16</v>
      </c>
      <c r="B181" s="6">
        <v>4278.45</v>
      </c>
      <c r="C181" s="6">
        <v>4278.45</v>
      </c>
      <c r="D181" s="6">
        <v>4278.45</v>
      </c>
      <c r="E181" s="6">
        <v>4278.45</v>
      </c>
      <c r="F181" s="6">
        <v>4278.45</v>
      </c>
      <c r="G181" s="6">
        <v>4278.45</v>
      </c>
      <c r="H181" s="6">
        <v>4278.45</v>
      </c>
      <c r="I181" s="6">
        <v>4278.45</v>
      </c>
      <c r="J181" s="6">
        <v>4278.45</v>
      </c>
      <c r="K181" s="6">
        <v>4278.45</v>
      </c>
      <c r="L181" s="6">
        <v>4278.45</v>
      </c>
      <c r="M181" s="6">
        <v>4278.45</v>
      </c>
      <c r="N181" s="7">
        <f t="shared" ref="N181:N193" si="11">SUM(B181:M181)</f>
        <v>51341.399999999987</v>
      </c>
    </row>
    <row r="182" spans="1:15" x14ac:dyDescent="0.25">
      <c r="A182" s="8" t="s">
        <v>17</v>
      </c>
      <c r="B182" s="9">
        <v>9697.82</v>
      </c>
      <c r="C182" s="9">
        <v>9697.82</v>
      </c>
      <c r="D182" s="9">
        <v>9697.82</v>
      </c>
      <c r="E182" s="9">
        <v>9697.82</v>
      </c>
      <c r="F182" s="9">
        <v>9697.82</v>
      </c>
      <c r="G182" s="9">
        <v>9697.82</v>
      </c>
      <c r="H182" s="9">
        <v>9697.82</v>
      </c>
      <c r="I182" s="9">
        <v>9697.82</v>
      </c>
      <c r="J182" s="9">
        <v>9697.82</v>
      </c>
      <c r="K182" s="9">
        <v>9697.82</v>
      </c>
      <c r="L182" s="9">
        <v>9697.82</v>
      </c>
      <c r="M182" s="9">
        <v>9697.82</v>
      </c>
      <c r="N182" s="10">
        <f t="shared" si="11"/>
        <v>116373.84000000003</v>
      </c>
    </row>
    <row r="183" spans="1:15" x14ac:dyDescent="0.25">
      <c r="A183" s="8" t="s">
        <v>18</v>
      </c>
      <c r="B183" s="9">
        <v>1140.92</v>
      </c>
      <c r="C183" s="9">
        <v>1140.92</v>
      </c>
      <c r="D183" s="9">
        <v>1140.92</v>
      </c>
      <c r="E183" s="9">
        <v>1140.92</v>
      </c>
      <c r="F183" s="9">
        <v>1140.92</v>
      </c>
      <c r="G183" s="9">
        <v>1140.92</v>
      </c>
      <c r="H183" s="9">
        <v>1140.92</v>
      </c>
      <c r="I183" s="9">
        <v>1140.92</v>
      </c>
      <c r="J183" s="9">
        <v>1140.92</v>
      </c>
      <c r="K183" s="9">
        <v>1140.92</v>
      </c>
      <c r="L183" s="9">
        <v>1140.92</v>
      </c>
      <c r="M183" s="9">
        <v>1140.92</v>
      </c>
      <c r="N183" s="10">
        <f t="shared" si="11"/>
        <v>13691.04</v>
      </c>
    </row>
    <row r="184" spans="1:15" x14ac:dyDescent="0.25">
      <c r="A184" s="8" t="s">
        <v>19</v>
      </c>
      <c r="B184" s="9">
        <v>4923.5</v>
      </c>
      <c r="C184" s="9">
        <v>4880.5</v>
      </c>
      <c r="D184" s="9">
        <v>4880.5</v>
      </c>
      <c r="E184" s="9">
        <v>4880.5</v>
      </c>
      <c r="F184" s="9">
        <v>4794.5</v>
      </c>
      <c r="G184" s="9">
        <v>4966.5</v>
      </c>
      <c r="H184" s="9">
        <v>4880.5</v>
      </c>
      <c r="I184" s="9">
        <v>4880.5</v>
      </c>
      <c r="J184" s="9">
        <v>4880.5</v>
      </c>
      <c r="K184" s="9">
        <v>4773</v>
      </c>
      <c r="L184" s="9">
        <v>4773</v>
      </c>
      <c r="M184" s="9">
        <v>4773</v>
      </c>
      <c r="N184" s="10">
        <f t="shared" si="11"/>
        <v>58286.5</v>
      </c>
      <c r="O184" s="12">
        <f>SUM(H184:M184)</f>
        <v>28960.5</v>
      </c>
    </row>
    <row r="185" spans="1:15" x14ac:dyDescent="0.25">
      <c r="A185" s="8" t="s">
        <v>20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10">
        <f t="shared" si="11"/>
        <v>0</v>
      </c>
    </row>
    <row r="186" spans="1:15" x14ac:dyDescent="0.25">
      <c r="A186" s="8" t="s">
        <v>21</v>
      </c>
      <c r="B186" s="9">
        <v>1248.9000000000001</v>
      </c>
      <c r="C186" s="9">
        <v>1235.33</v>
      </c>
      <c r="D186" s="9">
        <v>1235.33</v>
      </c>
      <c r="E186" s="9">
        <v>1235.33</v>
      </c>
      <c r="F186" s="9">
        <v>1181.03</v>
      </c>
      <c r="G186" s="9">
        <v>3093.87</v>
      </c>
      <c r="H186" s="9">
        <v>1202.75</v>
      </c>
      <c r="I186" s="9">
        <v>1306.8499999999999</v>
      </c>
      <c r="J186" s="9">
        <v>1306.8499999999999</v>
      </c>
      <c r="K186" s="9">
        <v>1286.2</v>
      </c>
      <c r="L186" s="9">
        <v>1286.2</v>
      </c>
      <c r="M186" s="9">
        <v>1286.2</v>
      </c>
      <c r="N186" s="10">
        <f t="shared" si="11"/>
        <v>16904.84</v>
      </c>
      <c r="O186" s="12">
        <f>SUM(H186:M186)</f>
        <v>7675.0499999999993</v>
      </c>
    </row>
    <row r="187" spans="1:15" x14ac:dyDescent="0.25">
      <c r="A187" s="8" t="s">
        <v>22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10">
        <f t="shared" si="11"/>
        <v>0</v>
      </c>
    </row>
    <row r="188" spans="1:15" x14ac:dyDescent="0.25">
      <c r="A188" s="8" t="s">
        <v>23</v>
      </c>
      <c r="B188" s="9">
        <v>1906.7</v>
      </c>
      <c r="C188" s="9">
        <v>1885.98</v>
      </c>
      <c r="D188" s="9">
        <v>1885.98</v>
      </c>
      <c r="E188" s="9">
        <v>1885.98</v>
      </c>
      <c r="F188" s="9">
        <v>1803.08</v>
      </c>
      <c r="G188" s="9">
        <v>1869.4</v>
      </c>
      <c r="H188" s="9">
        <v>1836.24</v>
      </c>
      <c r="I188" s="9">
        <v>1993.5</v>
      </c>
      <c r="J188" s="9">
        <v>1993.5</v>
      </c>
      <c r="K188" s="9">
        <v>1962</v>
      </c>
      <c r="L188" s="9">
        <v>1962</v>
      </c>
      <c r="M188" s="9">
        <v>1962</v>
      </c>
      <c r="N188" s="10">
        <f t="shared" si="11"/>
        <v>22946.36</v>
      </c>
      <c r="O188" s="12">
        <f>SUM(H186:M188)</f>
        <v>19384.29</v>
      </c>
    </row>
    <row r="189" spans="1:15" x14ac:dyDescent="0.25">
      <c r="A189" s="8" t="s">
        <v>24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0">
        <f t="shared" si="11"/>
        <v>0</v>
      </c>
    </row>
    <row r="190" spans="1:15" x14ac:dyDescent="0.25">
      <c r="A190" s="5" t="s">
        <v>25</v>
      </c>
      <c r="B190" s="6">
        <v>19058.72</v>
      </c>
      <c r="C190" s="6">
        <v>18840.55</v>
      </c>
      <c r="D190" s="6">
        <v>18840.55</v>
      </c>
      <c r="E190" s="6">
        <v>18840.55</v>
      </c>
      <c r="F190" s="6">
        <v>18617.349999999999</v>
      </c>
      <c r="G190" s="6">
        <v>18899.11</v>
      </c>
      <c r="H190" s="6">
        <v>18758.23</v>
      </c>
      <c r="I190" s="6">
        <v>19019.59</v>
      </c>
      <c r="J190" s="6">
        <v>19019.59</v>
      </c>
      <c r="K190" s="6">
        <v>18859.939999999999</v>
      </c>
      <c r="L190" s="6">
        <v>18859.939999999999</v>
      </c>
      <c r="M190" s="6">
        <v>18859.939999999999</v>
      </c>
      <c r="N190" s="7">
        <f t="shared" si="11"/>
        <v>226474.06</v>
      </c>
    </row>
    <row r="191" spans="1:15" x14ac:dyDescent="0.25">
      <c r="A191" s="5" t="s">
        <v>26</v>
      </c>
      <c r="B191" s="6">
        <v>2280</v>
      </c>
      <c r="C191" s="6">
        <v>2280</v>
      </c>
      <c r="D191" s="6">
        <v>2280</v>
      </c>
      <c r="E191" s="6">
        <v>2280</v>
      </c>
      <c r="F191" s="6">
        <v>2220</v>
      </c>
      <c r="G191" s="6">
        <v>2340</v>
      </c>
      <c r="H191" s="6">
        <v>2280</v>
      </c>
      <c r="I191" s="6">
        <v>2280</v>
      </c>
      <c r="J191" s="6">
        <v>2280</v>
      </c>
      <c r="K191" s="6">
        <v>2280</v>
      </c>
      <c r="L191" s="6">
        <v>2280</v>
      </c>
      <c r="M191" s="6">
        <v>2280</v>
      </c>
      <c r="N191" s="7">
        <f t="shared" si="11"/>
        <v>27360</v>
      </c>
    </row>
    <row r="192" spans="1:15" x14ac:dyDescent="0.25">
      <c r="A192" s="5" t="s">
        <v>27</v>
      </c>
      <c r="B192" s="6">
        <v>5134.1400000000003</v>
      </c>
      <c r="C192" s="6">
        <v>5134.1400000000003</v>
      </c>
      <c r="D192" s="6">
        <v>5134.1400000000003</v>
      </c>
      <c r="E192" s="6">
        <v>5134.1400000000003</v>
      </c>
      <c r="F192" s="6">
        <v>5134.1400000000003</v>
      </c>
      <c r="G192" s="6">
        <v>5134.1400000000003</v>
      </c>
      <c r="H192" s="6">
        <v>5134.1400000000003</v>
      </c>
      <c r="I192" s="6">
        <v>5134.1400000000003</v>
      </c>
      <c r="J192" s="6">
        <v>5134.1400000000003</v>
      </c>
      <c r="K192" s="6">
        <v>5134.1400000000003</v>
      </c>
      <c r="L192" s="6">
        <v>5134.1400000000003</v>
      </c>
      <c r="M192" s="6">
        <v>5134.1400000000003</v>
      </c>
      <c r="N192" s="7">
        <f t="shared" si="11"/>
        <v>61609.68</v>
      </c>
    </row>
    <row r="193" spans="1:15" x14ac:dyDescent="0.25">
      <c r="A193" s="5" t="s">
        <v>28</v>
      </c>
      <c r="B193" s="6">
        <v>30751.31</v>
      </c>
      <c r="C193" s="6">
        <v>30533.14</v>
      </c>
      <c r="D193" s="6">
        <v>30533.14</v>
      </c>
      <c r="E193" s="6">
        <v>30533.14</v>
      </c>
      <c r="F193" s="6">
        <v>30249.94</v>
      </c>
      <c r="G193" s="6">
        <v>2340</v>
      </c>
      <c r="H193" s="6">
        <v>25180.28</v>
      </c>
      <c r="I193" s="6">
        <v>30712.18</v>
      </c>
      <c r="J193" s="6">
        <v>30712.18</v>
      </c>
      <c r="K193" s="6">
        <v>2280</v>
      </c>
      <c r="L193" s="6">
        <v>30552.53</v>
      </c>
      <c r="M193" s="6">
        <v>30552.53</v>
      </c>
      <c r="N193" s="7">
        <f t="shared" si="11"/>
        <v>304930.37</v>
      </c>
    </row>
    <row r="195" spans="1:15" ht="15.75" x14ac:dyDescent="0.25">
      <c r="A195" s="2" t="s">
        <v>40</v>
      </c>
    </row>
    <row r="196" spans="1:15" x14ac:dyDescent="0.25">
      <c r="A196" s="3" t="s">
        <v>2</v>
      </c>
      <c r="B196" s="4" t="s">
        <v>3</v>
      </c>
      <c r="C196" s="4" t="s">
        <v>4</v>
      </c>
      <c r="D196" s="4" t="s">
        <v>5</v>
      </c>
      <c r="E196" s="4" t="s">
        <v>6</v>
      </c>
      <c r="F196" s="4" t="s">
        <v>7</v>
      </c>
      <c r="G196" s="4" t="s">
        <v>8</v>
      </c>
      <c r="H196" s="4" t="s">
        <v>9</v>
      </c>
      <c r="I196" s="4" t="s">
        <v>10</v>
      </c>
      <c r="J196" s="4" t="s">
        <v>11</v>
      </c>
      <c r="K196" s="4" t="s">
        <v>12</v>
      </c>
      <c r="L196" s="4" t="s">
        <v>13</v>
      </c>
      <c r="M196" s="4" t="s">
        <v>14</v>
      </c>
      <c r="N196" s="4" t="s">
        <v>15</v>
      </c>
    </row>
    <row r="197" spans="1:15" x14ac:dyDescent="0.25">
      <c r="A197" s="5" t="s">
        <v>16</v>
      </c>
      <c r="B197" s="6">
        <v>745.92</v>
      </c>
      <c r="C197" s="6">
        <v>745.92</v>
      </c>
      <c r="D197" s="6">
        <v>745.92</v>
      </c>
      <c r="E197" s="6">
        <v>745.92</v>
      </c>
      <c r="F197" s="6">
        <v>745.92</v>
      </c>
      <c r="G197" s="6">
        <v>745.92</v>
      </c>
      <c r="H197" s="6">
        <v>745.92</v>
      </c>
      <c r="I197" s="6">
        <v>745.92</v>
      </c>
      <c r="J197" s="6">
        <v>745.92</v>
      </c>
      <c r="K197" s="6">
        <v>745.92</v>
      </c>
      <c r="L197" s="6">
        <v>745.92</v>
      </c>
      <c r="M197" s="6">
        <v>745.92</v>
      </c>
      <c r="N197" s="7">
        <f t="shared" ref="N197:N209" si="12">SUM(B197:M197)</f>
        <v>8951.0399999999991</v>
      </c>
    </row>
    <row r="198" spans="1:15" x14ac:dyDescent="0.25">
      <c r="A198" s="8" t="s">
        <v>17</v>
      </c>
      <c r="B198" s="9">
        <v>1332</v>
      </c>
      <c r="C198" s="9">
        <v>1332</v>
      </c>
      <c r="D198" s="9">
        <v>1332</v>
      </c>
      <c r="E198" s="9">
        <v>1332</v>
      </c>
      <c r="F198" s="9">
        <v>1332</v>
      </c>
      <c r="G198" s="9">
        <v>1332</v>
      </c>
      <c r="H198" s="9">
        <v>1332</v>
      </c>
      <c r="I198" s="9">
        <v>1332</v>
      </c>
      <c r="J198" s="9">
        <v>1332</v>
      </c>
      <c r="K198" s="9">
        <v>1332</v>
      </c>
      <c r="L198" s="9">
        <v>1332</v>
      </c>
      <c r="M198" s="9">
        <v>1332</v>
      </c>
      <c r="N198" s="10">
        <f t="shared" si="12"/>
        <v>15984</v>
      </c>
    </row>
    <row r="199" spans="1:15" x14ac:dyDescent="0.25">
      <c r="A199" s="8" t="s">
        <v>18</v>
      </c>
      <c r="B199" s="9">
        <v>186.48</v>
      </c>
      <c r="C199" s="9">
        <v>186.48</v>
      </c>
      <c r="D199" s="9">
        <v>186.48</v>
      </c>
      <c r="E199" s="9">
        <v>186.48</v>
      </c>
      <c r="F199" s="9">
        <v>186.48</v>
      </c>
      <c r="G199" s="9">
        <v>186.48</v>
      </c>
      <c r="H199" s="9">
        <v>186.48</v>
      </c>
      <c r="I199" s="9">
        <v>186.48</v>
      </c>
      <c r="J199" s="9">
        <v>186.48</v>
      </c>
      <c r="K199" s="9">
        <v>186.48</v>
      </c>
      <c r="L199" s="9">
        <v>186.48</v>
      </c>
      <c r="M199" s="9">
        <v>186.48</v>
      </c>
      <c r="N199" s="10">
        <f t="shared" si="12"/>
        <v>2237.7599999999998</v>
      </c>
    </row>
    <row r="200" spans="1:15" x14ac:dyDescent="0.25">
      <c r="A200" s="8" t="s">
        <v>19</v>
      </c>
      <c r="B200" s="9">
        <v>960</v>
      </c>
      <c r="C200" s="9">
        <v>960</v>
      </c>
      <c r="D200" s="9">
        <v>960</v>
      </c>
      <c r="E200" s="9">
        <v>920</v>
      </c>
      <c r="F200" s="9">
        <v>680</v>
      </c>
      <c r="G200" s="9">
        <v>800</v>
      </c>
      <c r="H200" s="9">
        <v>800</v>
      </c>
      <c r="I200" s="9">
        <v>800</v>
      </c>
      <c r="J200" s="9">
        <v>800</v>
      </c>
      <c r="K200" s="9">
        <v>720</v>
      </c>
      <c r="L200" s="9">
        <v>720</v>
      </c>
      <c r="M200" s="9">
        <v>720</v>
      </c>
      <c r="N200" s="10">
        <f t="shared" si="12"/>
        <v>9840</v>
      </c>
      <c r="O200" s="12">
        <f>SUM(H200:M200)</f>
        <v>4560</v>
      </c>
    </row>
    <row r="201" spans="1:15" x14ac:dyDescent="0.25">
      <c r="A201" s="8" t="s">
        <v>20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0">
        <f t="shared" si="12"/>
        <v>0</v>
      </c>
    </row>
    <row r="202" spans="1:15" x14ac:dyDescent="0.25">
      <c r="A202" s="8" t="s">
        <v>21</v>
      </c>
      <c r="B202" s="9">
        <v>255.21</v>
      </c>
      <c r="C202" s="9">
        <v>255.21</v>
      </c>
      <c r="D202" s="9">
        <v>255.21</v>
      </c>
      <c r="E202" s="9">
        <v>222.63</v>
      </c>
      <c r="F202" s="9">
        <v>222.63</v>
      </c>
      <c r="G202" s="9">
        <v>222.63</v>
      </c>
      <c r="H202" s="9">
        <v>222.63</v>
      </c>
      <c r="I202" s="9">
        <v>241.9</v>
      </c>
      <c r="J202" s="9">
        <v>241.9</v>
      </c>
      <c r="K202" s="9">
        <v>224.2</v>
      </c>
      <c r="L202" s="9">
        <v>224.2</v>
      </c>
      <c r="M202" s="9">
        <v>224.2</v>
      </c>
      <c r="N202" s="10">
        <f t="shared" si="12"/>
        <v>2812.5499999999997</v>
      </c>
      <c r="O202" s="12">
        <f>SUM(H202:M202,H204:M204)</f>
        <v>3482.92</v>
      </c>
    </row>
    <row r="203" spans="1:15" x14ac:dyDescent="0.25">
      <c r="A203" s="8" t="s">
        <v>22</v>
      </c>
      <c r="B203" s="11">
        <v>38.01</v>
      </c>
      <c r="C203" s="9">
        <v>38.01</v>
      </c>
      <c r="D203" s="9">
        <v>38.01</v>
      </c>
      <c r="E203" s="9">
        <v>32.58</v>
      </c>
      <c r="F203" s="9">
        <v>32.58</v>
      </c>
      <c r="G203" s="9">
        <v>32.58</v>
      </c>
      <c r="H203" s="9">
        <v>32.58</v>
      </c>
      <c r="I203" s="9">
        <v>35.4</v>
      </c>
      <c r="J203" s="9">
        <v>35.4</v>
      </c>
      <c r="K203" s="11">
        <v>32.450000000000003</v>
      </c>
      <c r="L203" s="9">
        <v>32.450000000000003</v>
      </c>
      <c r="M203" s="9">
        <v>32.450000000000003</v>
      </c>
      <c r="N203" s="10">
        <f t="shared" si="12"/>
        <v>412.49999999999989</v>
      </c>
    </row>
    <row r="204" spans="1:15" x14ac:dyDescent="0.25">
      <c r="A204" s="8" t="s">
        <v>23</v>
      </c>
      <c r="B204" s="9">
        <v>389.63</v>
      </c>
      <c r="C204" s="9">
        <v>389.63</v>
      </c>
      <c r="D204" s="9">
        <v>389.63</v>
      </c>
      <c r="E204" s="9">
        <v>339.89</v>
      </c>
      <c r="F204" s="9">
        <v>339.89</v>
      </c>
      <c r="G204" s="9">
        <v>339.89</v>
      </c>
      <c r="H204" s="9">
        <v>339.89</v>
      </c>
      <c r="I204" s="9">
        <v>369</v>
      </c>
      <c r="J204" s="9">
        <v>369</v>
      </c>
      <c r="K204" s="9">
        <v>342</v>
      </c>
      <c r="L204" s="9">
        <v>342</v>
      </c>
      <c r="M204" s="9">
        <v>342</v>
      </c>
      <c r="N204" s="10">
        <f t="shared" si="12"/>
        <v>4292.4499999999989</v>
      </c>
      <c r="O204" s="12">
        <f>SUM(B203:M203,B205:M205)</f>
        <v>1042.0499999999997</v>
      </c>
    </row>
    <row r="205" spans="1:15" x14ac:dyDescent="0.25">
      <c r="A205" s="8" t="s">
        <v>24</v>
      </c>
      <c r="B205" s="11">
        <v>58.03</v>
      </c>
      <c r="C205" s="9">
        <v>58.03</v>
      </c>
      <c r="D205" s="9">
        <v>58.03</v>
      </c>
      <c r="E205" s="9">
        <v>49.74</v>
      </c>
      <c r="F205" s="9">
        <v>49.74</v>
      </c>
      <c r="G205" s="9">
        <v>49.74</v>
      </c>
      <c r="H205" s="9">
        <v>49.74</v>
      </c>
      <c r="I205" s="9">
        <v>54</v>
      </c>
      <c r="J205" s="9">
        <v>54</v>
      </c>
      <c r="K205" s="9">
        <v>49.5</v>
      </c>
      <c r="L205" s="9">
        <v>49.5</v>
      </c>
      <c r="M205" s="9">
        <v>49.5</v>
      </c>
      <c r="N205" s="10">
        <f t="shared" si="12"/>
        <v>629.54999999999995</v>
      </c>
    </row>
    <row r="206" spans="1:15" x14ac:dyDescent="0.25">
      <c r="A206" s="5" t="s">
        <v>25</v>
      </c>
      <c r="B206" s="6">
        <v>3219.36</v>
      </c>
      <c r="C206" s="6">
        <v>3219.36</v>
      </c>
      <c r="D206" s="6">
        <v>3219.36</v>
      </c>
      <c r="E206" s="6">
        <v>3083.32</v>
      </c>
      <c r="F206" s="6">
        <v>2843.32</v>
      </c>
      <c r="G206" s="6">
        <v>2963.32</v>
      </c>
      <c r="H206" s="6">
        <v>2963.32</v>
      </c>
      <c r="I206" s="6">
        <v>3018.78</v>
      </c>
      <c r="J206" s="6">
        <v>3018.78</v>
      </c>
      <c r="K206" s="6">
        <v>2886.63</v>
      </c>
      <c r="L206" s="6">
        <v>2886.63</v>
      </c>
      <c r="M206" s="6">
        <v>2886.63</v>
      </c>
      <c r="N206" s="7">
        <f t="shared" si="12"/>
        <v>36208.81</v>
      </c>
    </row>
    <row r="207" spans="1:15" x14ac:dyDescent="0.25">
      <c r="A207" s="5" t="s">
        <v>26</v>
      </c>
      <c r="B207" s="6">
        <v>420</v>
      </c>
      <c r="C207" s="6">
        <v>420</v>
      </c>
      <c r="D207" s="6">
        <v>420</v>
      </c>
      <c r="E207" s="6">
        <v>360</v>
      </c>
      <c r="F207" s="6">
        <v>360</v>
      </c>
      <c r="G207" s="6">
        <v>360</v>
      </c>
      <c r="H207" s="6">
        <v>360</v>
      </c>
      <c r="I207" s="6">
        <v>360</v>
      </c>
      <c r="J207" s="6">
        <v>360</v>
      </c>
      <c r="K207" s="6">
        <v>300</v>
      </c>
      <c r="L207" s="6">
        <v>300</v>
      </c>
      <c r="M207" s="6">
        <v>300</v>
      </c>
      <c r="N207" s="7">
        <f t="shared" si="12"/>
        <v>4320</v>
      </c>
    </row>
    <row r="208" spans="1:15" x14ac:dyDescent="0.25">
      <c r="A208" s="5" t="s">
        <v>27</v>
      </c>
      <c r="B208" s="6">
        <v>1118.8800000000001</v>
      </c>
      <c r="C208" s="6">
        <v>1118.8800000000001</v>
      </c>
      <c r="D208" s="6">
        <v>1118.8800000000001</v>
      </c>
      <c r="E208" s="6">
        <v>1118.8800000000001</v>
      </c>
      <c r="F208" s="6">
        <v>1118.8800000000001</v>
      </c>
      <c r="G208" s="6">
        <v>1118.8800000000001</v>
      </c>
      <c r="H208" s="6">
        <v>1118.8800000000001</v>
      </c>
      <c r="I208" s="6">
        <v>1118.8800000000001</v>
      </c>
      <c r="J208" s="6">
        <v>1118.8800000000001</v>
      </c>
      <c r="K208" s="6">
        <v>1118.8800000000001</v>
      </c>
      <c r="L208" s="6">
        <v>1118.8800000000001</v>
      </c>
      <c r="M208" s="6">
        <v>1118.8800000000001</v>
      </c>
      <c r="N208" s="7">
        <f t="shared" si="12"/>
        <v>13426.560000000005</v>
      </c>
    </row>
    <row r="209" spans="1:16" x14ac:dyDescent="0.25">
      <c r="A209" s="5" t="s">
        <v>28</v>
      </c>
      <c r="B209" s="6">
        <v>518.4</v>
      </c>
      <c r="C209" s="6">
        <v>5504.16</v>
      </c>
      <c r="D209" s="6">
        <v>5504.16</v>
      </c>
      <c r="E209" s="6">
        <v>5308.12</v>
      </c>
      <c r="F209" s="6">
        <v>5068.12</v>
      </c>
      <c r="G209" s="6">
        <v>360</v>
      </c>
      <c r="H209" s="6">
        <v>2170.9299999999998</v>
      </c>
      <c r="I209" s="6">
        <v>5243.58</v>
      </c>
      <c r="J209" s="6">
        <v>5243.58</v>
      </c>
      <c r="K209" s="6">
        <v>300</v>
      </c>
      <c r="L209" s="6">
        <v>5051.43</v>
      </c>
      <c r="M209" s="6">
        <v>5051.43</v>
      </c>
      <c r="N209" s="7">
        <f t="shared" si="12"/>
        <v>45323.91</v>
      </c>
    </row>
    <row r="211" spans="1:16" ht="15.75" x14ac:dyDescent="0.25">
      <c r="A211" s="2" t="s">
        <v>41</v>
      </c>
    </row>
    <row r="212" spans="1:16" x14ac:dyDescent="0.25">
      <c r="A212" s="3" t="s">
        <v>2</v>
      </c>
      <c r="B212" s="4" t="s">
        <v>3</v>
      </c>
      <c r="C212" s="4" t="s">
        <v>4</v>
      </c>
      <c r="D212" s="4" t="s">
        <v>5</v>
      </c>
      <c r="E212" s="4" t="s">
        <v>6</v>
      </c>
      <c r="F212" s="4" t="s">
        <v>7</v>
      </c>
      <c r="G212" s="4" t="s">
        <v>8</v>
      </c>
      <c r="H212" s="4" t="s">
        <v>9</v>
      </c>
      <c r="I212" s="4" t="s">
        <v>10</v>
      </c>
      <c r="J212" s="4" t="s">
        <v>11</v>
      </c>
      <c r="K212" s="4" t="s">
        <v>12</v>
      </c>
      <c r="L212" s="4" t="s">
        <v>13</v>
      </c>
      <c r="M212" s="4" t="s">
        <v>14</v>
      </c>
      <c r="N212" s="4" t="s">
        <v>15</v>
      </c>
    </row>
    <row r="213" spans="1:16" x14ac:dyDescent="0.25">
      <c r="A213" s="5" t="s">
        <v>16</v>
      </c>
      <c r="B213" s="6">
        <v>980.5</v>
      </c>
      <c r="C213" s="6">
        <v>980.5</v>
      </c>
      <c r="D213" s="6">
        <v>980.5</v>
      </c>
      <c r="E213" s="6">
        <v>980.5</v>
      </c>
      <c r="F213" s="6">
        <v>980.5</v>
      </c>
      <c r="G213" s="6">
        <v>980.5</v>
      </c>
      <c r="H213" s="6">
        <v>980.5</v>
      </c>
      <c r="I213" s="6">
        <v>980.5</v>
      </c>
      <c r="J213" s="6">
        <v>980.5</v>
      </c>
      <c r="K213" s="6">
        <v>980.5</v>
      </c>
      <c r="L213" s="6">
        <v>980.5</v>
      </c>
      <c r="M213" s="6">
        <v>980.5</v>
      </c>
      <c r="N213" s="7">
        <f t="shared" ref="N213:N225" si="13">SUM(B213:M213)</f>
        <v>11766</v>
      </c>
    </row>
    <row r="214" spans="1:16" x14ac:dyDescent="0.25">
      <c r="A214" s="8" t="s">
        <v>17</v>
      </c>
      <c r="B214" s="9">
        <v>1961</v>
      </c>
      <c r="C214" s="9">
        <v>1961</v>
      </c>
      <c r="D214" s="9">
        <v>1961</v>
      </c>
      <c r="E214" s="9">
        <v>1961</v>
      </c>
      <c r="F214" s="9">
        <v>1961</v>
      </c>
      <c r="G214" s="9">
        <v>1961</v>
      </c>
      <c r="H214" s="9">
        <v>1961</v>
      </c>
      <c r="I214" s="9">
        <v>1961</v>
      </c>
      <c r="J214" s="9">
        <v>1961</v>
      </c>
      <c r="K214" s="9">
        <v>1961</v>
      </c>
      <c r="L214" s="9">
        <v>1961</v>
      </c>
      <c r="M214" s="9">
        <v>1961</v>
      </c>
      <c r="N214" s="10">
        <f t="shared" si="13"/>
        <v>23532</v>
      </c>
    </row>
    <row r="215" spans="1:16" x14ac:dyDescent="0.25">
      <c r="A215" s="8" t="s">
        <v>18</v>
      </c>
      <c r="B215" s="9">
        <v>274.54000000000002</v>
      </c>
      <c r="C215" s="9">
        <v>274.54000000000002</v>
      </c>
      <c r="D215" s="9">
        <v>274.54000000000002</v>
      </c>
      <c r="E215" s="9">
        <v>274.54000000000002</v>
      </c>
      <c r="F215" s="9">
        <v>274.54000000000002</v>
      </c>
      <c r="G215" s="9">
        <v>274.54000000000002</v>
      </c>
      <c r="H215" s="9">
        <v>274.54000000000002</v>
      </c>
      <c r="I215" s="9">
        <v>274.54000000000002</v>
      </c>
      <c r="J215" s="9">
        <v>274.54000000000002</v>
      </c>
      <c r="K215" s="9">
        <v>274.54000000000002</v>
      </c>
      <c r="L215" s="9">
        <v>274.54000000000002</v>
      </c>
      <c r="M215" s="9">
        <v>274.54000000000002</v>
      </c>
      <c r="N215" s="10">
        <f t="shared" si="13"/>
        <v>3294.48</v>
      </c>
    </row>
    <row r="216" spans="1:16" x14ac:dyDescent="0.25">
      <c r="A216" s="8" t="s">
        <v>19</v>
      </c>
      <c r="B216" s="9">
        <v>1380</v>
      </c>
      <c r="C216" s="9">
        <v>1300</v>
      </c>
      <c r="D216" s="9">
        <v>1300</v>
      </c>
      <c r="E216" s="9">
        <v>1300</v>
      </c>
      <c r="F216" s="9">
        <v>1300</v>
      </c>
      <c r="G216" s="9">
        <v>1300</v>
      </c>
      <c r="H216" s="9">
        <v>1300</v>
      </c>
      <c r="I216" s="17">
        <v>1260</v>
      </c>
      <c r="J216" s="9">
        <v>1280</v>
      </c>
      <c r="K216" s="9">
        <v>1000</v>
      </c>
      <c r="L216" s="9">
        <v>1000</v>
      </c>
      <c r="M216" s="9">
        <v>1000</v>
      </c>
      <c r="N216" s="10">
        <f t="shared" si="13"/>
        <v>14720</v>
      </c>
      <c r="O216" s="12">
        <f>SUM(H216:M216)</f>
        <v>6840</v>
      </c>
      <c r="P216" t="s">
        <v>48</v>
      </c>
    </row>
    <row r="217" spans="1:16" x14ac:dyDescent="0.25">
      <c r="A217" s="8" t="s">
        <v>20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0">
        <f t="shared" si="13"/>
        <v>0</v>
      </c>
    </row>
    <row r="218" spans="1:16" x14ac:dyDescent="0.25">
      <c r="A218" s="8" t="s">
        <v>21</v>
      </c>
      <c r="B218" s="9">
        <v>380.1</v>
      </c>
      <c r="C218" s="9">
        <v>358.38</v>
      </c>
      <c r="D218" s="9">
        <v>358.38</v>
      </c>
      <c r="E218" s="9">
        <v>358.38</v>
      </c>
      <c r="F218" s="9">
        <v>358.38</v>
      </c>
      <c r="G218" s="9">
        <v>358.38</v>
      </c>
      <c r="H218" s="9">
        <v>358.38</v>
      </c>
      <c r="I218" s="9">
        <v>366.74</v>
      </c>
      <c r="J218" s="9">
        <v>377.6</v>
      </c>
      <c r="K218" s="9">
        <v>289.10000000000002</v>
      </c>
      <c r="L218" s="9">
        <v>289.10000000000002</v>
      </c>
      <c r="M218" s="9">
        <v>289.10000000000002</v>
      </c>
      <c r="N218" s="10">
        <f t="shared" si="13"/>
        <v>4142.0200000000004</v>
      </c>
      <c r="O218" s="12">
        <f>SUM(H218:M220)</f>
        <v>4975.58</v>
      </c>
    </row>
    <row r="219" spans="1:16" x14ac:dyDescent="0.25">
      <c r="A219" s="8" t="s">
        <v>22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0">
        <f t="shared" si="13"/>
        <v>0</v>
      </c>
    </row>
    <row r="220" spans="1:16" x14ac:dyDescent="0.25">
      <c r="A220" s="8" t="s">
        <v>23</v>
      </c>
      <c r="B220" s="9">
        <v>580.29999999999995</v>
      </c>
      <c r="C220" s="9">
        <v>547.14</v>
      </c>
      <c r="D220" s="9">
        <v>547.14</v>
      </c>
      <c r="E220" s="9">
        <v>547.14</v>
      </c>
      <c r="F220" s="9">
        <v>547.14</v>
      </c>
      <c r="G220" s="9">
        <v>547.14</v>
      </c>
      <c r="H220" s="9">
        <v>547.14</v>
      </c>
      <c r="I220" s="9">
        <v>559.41999999999996</v>
      </c>
      <c r="J220" s="9">
        <v>576</v>
      </c>
      <c r="K220" s="9">
        <v>441</v>
      </c>
      <c r="L220" s="9">
        <v>441</v>
      </c>
      <c r="M220" s="9">
        <v>441</v>
      </c>
      <c r="N220" s="10">
        <f t="shared" si="13"/>
        <v>6321.5599999999995</v>
      </c>
    </row>
    <row r="221" spans="1:16" x14ac:dyDescent="0.25">
      <c r="A221" s="8" t="s">
        <v>24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0">
        <f t="shared" si="13"/>
        <v>0</v>
      </c>
    </row>
    <row r="222" spans="1:16" x14ac:dyDescent="0.25">
      <c r="A222" s="5" t="s">
        <v>25</v>
      </c>
      <c r="B222" s="6">
        <v>4575.9399999999996</v>
      </c>
      <c r="C222" s="6">
        <v>4441.0600000000004</v>
      </c>
      <c r="D222" s="6">
        <v>4441.0600000000004</v>
      </c>
      <c r="E222" s="6">
        <v>4441.0600000000004</v>
      </c>
      <c r="F222" s="6">
        <v>4441.0600000000004</v>
      </c>
      <c r="G222" s="6">
        <v>4441.0600000000004</v>
      </c>
      <c r="H222" s="6">
        <v>4441.0600000000004</v>
      </c>
      <c r="I222" s="6">
        <v>4421.7</v>
      </c>
      <c r="J222" s="6">
        <v>4469.1400000000003</v>
      </c>
      <c r="K222" s="6">
        <v>3965.64</v>
      </c>
      <c r="L222" s="6">
        <v>3635.38</v>
      </c>
      <c r="M222" s="6">
        <v>3965.64</v>
      </c>
      <c r="N222" s="7">
        <f t="shared" si="13"/>
        <v>51679.8</v>
      </c>
    </row>
    <row r="223" spans="1:16" x14ac:dyDescent="0.25">
      <c r="A223" s="5" t="s">
        <v>26</v>
      </c>
      <c r="B223" s="6">
        <v>540</v>
      </c>
      <c r="C223" s="6">
        <v>480</v>
      </c>
      <c r="D223" s="6">
        <v>480</v>
      </c>
      <c r="E223" s="6">
        <v>480</v>
      </c>
      <c r="F223" s="6">
        <v>480</v>
      </c>
      <c r="G223" s="6">
        <v>480</v>
      </c>
      <c r="H223" s="6">
        <v>480</v>
      </c>
      <c r="I223" s="6">
        <v>360</v>
      </c>
      <c r="J223" s="6">
        <v>420</v>
      </c>
      <c r="K223" s="6">
        <v>420</v>
      </c>
      <c r="L223" s="6">
        <v>420</v>
      </c>
      <c r="M223" s="6">
        <v>420</v>
      </c>
      <c r="N223" s="7">
        <f t="shared" si="13"/>
        <v>5460</v>
      </c>
    </row>
    <row r="224" spans="1:16" x14ac:dyDescent="0.25">
      <c r="A224" s="5" t="s">
        <v>27</v>
      </c>
      <c r="B224" s="6">
        <v>588.29999999999995</v>
      </c>
      <c r="C224" s="6">
        <v>588.29999999999995</v>
      </c>
      <c r="D224" s="6">
        <v>588.29999999999995</v>
      </c>
      <c r="E224" s="6">
        <v>980.5</v>
      </c>
      <c r="F224" s="6">
        <v>980.5</v>
      </c>
      <c r="G224" s="6">
        <v>980.5</v>
      </c>
      <c r="H224" s="6">
        <v>980.5</v>
      </c>
      <c r="I224" s="6">
        <v>980.5</v>
      </c>
      <c r="J224" s="6">
        <v>980.5</v>
      </c>
      <c r="K224" s="6">
        <v>980.5</v>
      </c>
      <c r="L224" s="6">
        <v>980.5</v>
      </c>
      <c r="M224" s="6">
        <v>980.5</v>
      </c>
      <c r="N224" s="7">
        <f t="shared" si="13"/>
        <v>10589.4</v>
      </c>
    </row>
    <row r="225" spans="1:15" x14ac:dyDescent="0.25">
      <c r="A225" s="5" t="s">
        <v>28</v>
      </c>
      <c r="B225" s="6">
        <v>6684.74</v>
      </c>
      <c r="C225" s="6">
        <v>6489.86</v>
      </c>
      <c r="D225" s="6">
        <v>6489.86</v>
      </c>
      <c r="E225" s="6">
        <v>6882.06</v>
      </c>
      <c r="F225" s="6">
        <v>6882.06</v>
      </c>
      <c r="G225" s="6">
        <v>480</v>
      </c>
      <c r="H225" s="6">
        <v>3720.83</v>
      </c>
      <c r="I225" s="6">
        <v>6742.7</v>
      </c>
      <c r="J225" s="6">
        <v>6850.14</v>
      </c>
      <c r="K225" s="6">
        <v>420</v>
      </c>
      <c r="L225" s="6">
        <v>6016.38</v>
      </c>
      <c r="M225" s="6">
        <v>6346.64</v>
      </c>
      <c r="N225" s="7">
        <f t="shared" si="13"/>
        <v>64005.27</v>
      </c>
    </row>
    <row r="227" spans="1:15" ht="15.75" x14ac:dyDescent="0.25">
      <c r="A227" s="2" t="s">
        <v>42</v>
      </c>
    </row>
    <row r="228" spans="1:15" x14ac:dyDescent="0.25">
      <c r="A228" s="3" t="s">
        <v>2</v>
      </c>
      <c r="B228" s="4" t="s">
        <v>3</v>
      </c>
      <c r="C228" s="4" t="s">
        <v>4</v>
      </c>
      <c r="D228" s="4" t="s">
        <v>5</v>
      </c>
      <c r="E228" s="4" t="s">
        <v>6</v>
      </c>
      <c r="F228" s="4" t="s">
        <v>7</v>
      </c>
      <c r="G228" s="4" t="s">
        <v>8</v>
      </c>
      <c r="H228" s="4" t="s">
        <v>9</v>
      </c>
      <c r="I228" s="4" t="s">
        <v>10</v>
      </c>
      <c r="J228" s="4" t="s">
        <v>11</v>
      </c>
      <c r="K228" s="4" t="s">
        <v>12</v>
      </c>
      <c r="L228" s="4" t="s">
        <v>13</v>
      </c>
      <c r="M228" s="4" t="s">
        <v>14</v>
      </c>
      <c r="N228" s="4" t="s">
        <v>15</v>
      </c>
    </row>
    <row r="229" spans="1:15" x14ac:dyDescent="0.25">
      <c r="A229" s="5" t="s">
        <v>16</v>
      </c>
      <c r="B229" s="6">
        <v>65.8</v>
      </c>
      <c r="C229" s="6">
        <v>65.8</v>
      </c>
      <c r="D229" s="6">
        <v>65.8</v>
      </c>
      <c r="E229" s="6">
        <v>65.8</v>
      </c>
      <c r="F229" s="6">
        <v>65.8</v>
      </c>
      <c r="G229" s="6">
        <v>65.8</v>
      </c>
      <c r="H229" s="6">
        <v>65.8</v>
      </c>
      <c r="I229" s="6">
        <v>65.8</v>
      </c>
      <c r="J229" s="6">
        <v>65.8</v>
      </c>
      <c r="K229" s="6">
        <v>65.8</v>
      </c>
      <c r="L229" s="6">
        <v>65.8</v>
      </c>
      <c r="M229" s="6">
        <v>65.8</v>
      </c>
      <c r="N229" s="7">
        <f t="shared" ref="N229:N241" si="14">SUM(B229:M229)</f>
        <v>789.5999999999998</v>
      </c>
    </row>
    <row r="230" spans="1:15" x14ac:dyDescent="0.25">
      <c r="A230" s="8" t="s">
        <v>17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0">
        <f t="shared" si="14"/>
        <v>0</v>
      </c>
    </row>
    <row r="231" spans="1:15" x14ac:dyDescent="0.25">
      <c r="A231" s="8" t="s">
        <v>18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10">
        <f t="shared" si="14"/>
        <v>0</v>
      </c>
    </row>
    <row r="232" spans="1:15" x14ac:dyDescent="0.25">
      <c r="A232" s="8" t="s">
        <v>19</v>
      </c>
      <c r="B232" s="9">
        <v>120</v>
      </c>
      <c r="C232" s="9">
        <v>120</v>
      </c>
      <c r="D232" s="9">
        <v>120</v>
      </c>
      <c r="E232" s="9">
        <v>120</v>
      </c>
      <c r="F232" s="9">
        <v>120</v>
      </c>
      <c r="G232" s="9">
        <v>120</v>
      </c>
      <c r="H232" s="9">
        <v>120</v>
      </c>
      <c r="I232" s="9">
        <v>120</v>
      </c>
      <c r="J232" s="9">
        <v>120</v>
      </c>
      <c r="K232" s="9">
        <v>120</v>
      </c>
      <c r="L232" s="9">
        <v>120</v>
      </c>
      <c r="M232" s="9">
        <v>120</v>
      </c>
      <c r="N232" s="10">
        <f t="shared" si="14"/>
        <v>1440</v>
      </c>
      <c r="O232" s="12">
        <f>SUM(H232:M232)</f>
        <v>720</v>
      </c>
    </row>
    <row r="233" spans="1:15" x14ac:dyDescent="0.25">
      <c r="A233" s="8" t="s">
        <v>20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0">
        <f t="shared" si="14"/>
        <v>0</v>
      </c>
    </row>
    <row r="234" spans="1:15" x14ac:dyDescent="0.25">
      <c r="A234" s="8" t="s">
        <v>21</v>
      </c>
      <c r="B234" s="9">
        <v>5.43</v>
      </c>
      <c r="C234" s="9">
        <v>5.43</v>
      </c>
      <c r="D234" s="9">
        <v>5.43</v>
      </c>
      <c r="E234" s="9">
        <v>5.43</v>
      </c>
      <c r="F234" s="9">
        <v>5.43</v>
      </c>
      <c r="G234" s="9">
        <v>5.43</v>
      </c>
      <c r="H234" s="9">
        <v>5.43</v>
      </c>
      <c r="I234" s="9">
        <v>5.9</v>
      </c>
      <c r="J234" s="9">
        <v>5.9</v>
      </c>
      <c r="K234" s="9">
        <v>5.9</v>
      </c>
      <c r="L234" s="9">
        <v>5.9</v>
      </c>
      <c r="M234" s="9">
        <v>5.9</v>
      </c>
      <c r="N234" s="10">
        <f t="shared" si="14"/>
        <v>67.509999999999991</v>
      </c>
      <c r="O234" s="12">
        <f>SUM(H234:M236)</f>
        <v>88.22</v>
      </c>
    </row>
    <row r="235" spans="1:15" x14ac:dyDescent="0.25">
      <c r="A235" s="8" t="s">
        <v>22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0">
        <f t="shared" si="14"/>
        <v>0</v>
      </c>
    </row>
    <row r="236" spans="1:15" x14ac:dyDescent="0.25">
      <c r="A236" s="8" t="s">
        <v>23</v>
      </c>
      <c r="B236" s="9">
        <v>8.2899999999999991</v>
      </c>
      <c r="C236" s="9">
        <v>8.2899999999999991</v>
      </c>
      <c r="D236" s="9">
        <v>8.2899999999999991</v>
      </c>
      <c r="E236" s="9">
        <v>8.2899999999999991</v>
      </c>
      <c r="F236" s="9">
        <v>8.2899999999999991</v>
      </c>
      <c r="G236" s="9">
        <v>8.2899999999999991</v>
      </c>
      <c r="H236" s="9">
        <v>8.2899999999999991</v>
      </c>
      <c r="I236" s="9">
        <v>9</v>
      </c>
      <c r="J236" s="9">
        <v>9</v>
      </c>
      <c r="K236" s="9">
        <v>9</v>
      </c>
      <c r="L236" s="9">
        <v>9</v>
      </c>
      <c r="M236" s="9">
        <v>9</v>
      </c>
      <c r="N236" s="10">
        <f t="shared" si="14"/>
        <v>103.03</v>
      </c>
    </row>
    <row r="237" spans="1:15" x14ac:dyDescent="0.25">
      <c r="A237" s="8" t="s">
        <v>24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0">
        <f t="shared" si="14"/>
        <v>0</v>
      </c>
    </row>
    <row r="238" spans="1:15" x14ac:dyDescent="0.25">
      <c r="A238" s="5" t="s">
        <v>25</v>
      </c>
      <c r="B238" s="6">
        <v>133.72</v>
      </c>
      <c r="C238" s="6">
        <v>133.72</v>
      </c>
      <c r="D238" s="6">
        <v>133.72</v>
      </c>
      <c r="E238" s="6">
        <v>133.72</v>
      </c>
      <c r="F238" s="6">
        <v>133.72</v>
      </c>
      <c r="G238" s="6">
        <v>133.72</v>
      </c>
      <c r="H238" s="6">
        <v>133.72</v>
      </c>
      <c r="I238" s="6">
        <v>-4.16</v>
      </c>
      <c r="J238" s="6">
        <v>134.9</v>
      </c>
      <c r="K238" s="6">
        <v>134.9</v>
      </c>
      <c r="L238" s="6">
        <v>-333.48</v>
      </c>
      <c r="M238" s="6">
        <v>-66.98</v>
      </c>
      <c r="N238" s="7">
        <f t="shared" si="14"/>
        <v>801.22000000000025</v>
      </c>
    </row>
    <row r="239" spans="1:15" x14ac:dyDescent="0.25">
      <c r="A239" s="5" t="s">
        <v>26</v>
      </c>
      <c r="B239" s="6">
        <v>165.96</v>
      </c>
      <c r="C239" s="6">
        <v>165.96</v>
      </c>
      <c r="D239" s="6">
        <v>165.96</v>
      </c>
      <c r="E239" s="6">
        <v>165.96</v>
      </c>
      <c r="F239" s="6">
        <v>165.96</v>
      </c>
      <c r="G239" s="6">
        <v>165.96</v>
      </c>
      <c r="H239" s="6">
        <v>165.96</v>
      </c>
      <c r="I239" s="6">
        <v>165.96</v>
      </c>
      <c r="J239" s="6">
        <v>165.96</v>
      </c>
      <c r="K239" s="6">
        <v>165.96</v>
      </c>
      <c r="L239" s="6">
        <v>165.96</v>
      </c>
      <c r="M239" s="6">
        <v>165.96</v>
      </c>
      <c r="N239" s="7">
        <f t="shared" si="14"/>
        <v>1991.5200000000002</v>
      </c>
    </row>
    <row r="240" spans="1:15" x14ac:dyDescent="0.25">
      <c r="A240" s="5" t="s">
        <v>27</v>
      </c>
      <c r="B240" s="6">
        <v>39.479999999999997</v>
      </c>
      <c r="C240" s="6">
        <v>39.479999999999997</v>
      </c>
      <c r="D240" s="6">
        <v>39.479999999999997</v>
      </c>
      <c r="E240" s="6">
        <v>65.8</v>
      </c>
      <c r="F240" s="6">
        <v>65.8</v>
      </c>
      <c r="G240" s="6">
        <v>65.8</v>
      </c>
      <c r="H240" s="6">
        <v>65.8</v>
      </c>
      <c r="I240" s="6">
        <v>65.8</v>
      </c>
      <c r="J240" s="6">
        <v>65.8</v>
      </c>
      <c r="K240" s="6">
        <v>65.8</v>
      </c>
      <c r="L240" s="6">
        <v>65.8</v>
      </c>
      <c r="M240" s="6">
        <v>65.8</v>
      </c>
      <c r="N240" s="7">
        <f t="shared" si="14"/>
        <v>710.63999999999987</v>
      </c>
    </row>
    <row r="241" spans="1:14" x14ac:dyDescent="0.25">
      <c r="A241" s="5" t="s">
        <v>28</v>
      </c>
      <c r="B241" s="6">
        <v>223.56</v>
      </c>
      <c r="C241" s="6">
        <v>404.96</v>
      </c>
      <c r="D241" s="6">
        <v>404.96</v>
      </c>
      <c r="E241" s="6">
        <v>431.28</v>
      </c>
      <c r="F241" s="6">
        <v>431.28</v>
      </c>
      <c r="G241" s="6">
        <v>165.96</v>
      </c>
      <c r="H241" s="6">
        <v>165.96</v>
      </c>
      <c r="I241" s="6">
        <v>293.39999999999998</v>
      </c>
      <c r="J241" s="6">
        <v>432.46</v>
      </c>
      <c r="K241" s="6">
        <v>165.96</v>
      </c>
      <c r="L241" s="6">
        <v>165.96</v>
      </c>
      <c r="M241" s="6">
        <v>230.58</v>
      </c>
      <c r="N241" s="7">
        <f t="shared" si="14"/>
        <v>3516.32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Podsumowanie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2026-04-22T11:33:23Z</dcterms:created>
  <dcterms:modified xsi:type="dcterms:W3CDTF">2026-05-05T15:04:48Z</dcterms:modified>
  <cp:category/>
</cp:coreProperties>
</file>