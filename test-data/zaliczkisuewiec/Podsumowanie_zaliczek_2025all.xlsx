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-15" yWindow="-15" windowWidth="21915" windowHeight="9405"/>
  </bookViews>
  <sheets>
    <sheet name="Podsumowanie" sheetId="1" r:id="rId1"/>
  </sheets>
  <calcPr calcId="145621"/>
</workbook>
</file>

<file path=xl/calcChain.xml><?xml version="1.0" encoding="utf-8"?>
<calcChain xmlns="http://schemas.openxmlformats.org/spreadsheetml/2006/main">
  <c r="O218" i="1" l="1"/>
  <c r="O216" i="1"/>
  <c r="O237" i="1"/>
  <c r="O232" i="1"/>
  <c r="O236" i="1"/>
  <c r="O234" i="1"/>
  <c r="O474" i="1"/>
  <c r="O472" i="1"/>
  <c r="O456" i="1"/>
  <c r="O458" i="1"/>
  <c r="O442" i="1"/>
  <c r="O440" i="1"/>
  <c r="O426" i="1"/>
  <c r="O424" i="1"/>
  <c r="O410" i="1"/>
  <c r="O408" i="1"/>
  <c r="O394" i="1"/>
  <c r="O392" i="1"/>
  <c r="O378" i="1"/>
  <c r="O376" i="1"/>
  <c r="O360" i="1"/>
  <c r="O346" i="1"/>
  <c r="O344" i="1"/>
  <c r="O330" i="1"/>
  <c r="O312" i="1"/>
  <c r="O314" i="1"/>
  <c r="O168" i="1"/>
  <c r="O170" i="1"/>
  <c r="O186" i="1"/>
  <c r="O184" i="1"/>
  <c r="O106" i="1"/>
  <c r="O104" i="1"/>
  <c r="O138" i="1"/>
  <c r="O136" i="1"/>
  <c r="O282" i="1"/>
  <c r="O280" i="1"/>
  <c r="O250" i="1"/>
  <c r="O248" i="1"/>
  <c r="O74" i="1"/>
  <c r="O72" i="1"/>
  <c r="O58" i="1"/>
  <c r="O56" i="1"/>
  <c r="O42" i="1"/>
  <c r="O40" i="1"/>
  <c r="M42" i="1"/>
  <c r="M40" i="1"/>
  <c r="O27" i="1"/>
  <c r="O28" i="1"/>
  <c r="M8" i="1" l="1"/>
  <c r="O8" i="1" s="1"/>
  <c r="M10" i="1"/>
  <c r="O10" i="1"/>
  <c r="N481" i="1" l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17" i="1"/>
  <c r="N16" i="1"/>
  <c r="N15" i="1"/>
  <c r="N14" i="1"/>
  <c r="N13" i="1"/>
  <c r="N12" i="1"/>
  <c r="N11" i="1"/>
  <c r="N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<sst xmlns="http://schemas.openxmlformats.org/spreadsheetml/2006/main" count="850" uniqueCount="66">
  <si>
    <t>Podsumowanie zaliczek 2025</t>
  </si>
  <si>
    <t>Al. Lotników 20 (mieszkalne)</t>
  </si>
  <si>
    <t>Kategoria</t>
  </si>
  <si>
    <t>sty 2025</t>
  </si>
  <si>
    <t>lut 2025</t>
  </si>
  <si>
    <t>mar 2025</t>
  </si>
  <si>
    <t>kwi 2025</t>
  </si>
  <si>
    <t>maj 2025</t>
  </si>
  <si>
    <t>cze 2025</t>
  </si>
  <si>
    <t>lip 2025</t>
  </si>
  <si>
    <t>sie 2025</t>
  </si>
  <si>
    <t>wrz 2025</t>
  </si>
  <si>
    <t>paź 2025</t>
  </si>
  <si>
    <t>lis 2025</t>
  </si>
  <si>
    <t>gru 2025</t>
  </si>
  <si>
    <t>SUMA</t>
  </si>
  <si>
    <t>1. Zaliczka na utrzymanie</t>
  </si>
  <si>
    <t xml:space="preserve">  CO - opłata zmienna</t>
  </si>
  <si>
    <t xml:space="preserve">  CO - opłata stała</t>
  </si>
  <si>
    <t xml:space="preserve">  Ciepła woda - licznik</t>
  </si>
  <si>
    <t xml:space="preserve">  Ciepła woda - ryczałt</t>
  </si>
  <si>
    <t xml:space="preserve">  Zimna woda - licznik</t>
  </si>
  <si>
    <t xml:space="preserve">  Zimna woda - ryczałt</t>
  </si>
  <si>
    <t xml:space="preserve">  Ścieki - licznik</t>
  </si>
  <si>
    <t xml:space="preserve">  Ścieki - ryczałt</t>
  </si>
  <si>
    <t>2. Razem świadczenia</t>
  </si>
  <si>
    <t>3. Odpady komunalne</t>
  </si>
  <si>
    <t>4. Fundusz remontowy</t>
  </si>
  <si>
    <t>RAZEM (zal.+św.+odpady)</t>
  </si>
  <si>
    <t>Bogunki 5 (mieszkalne)</t>
  </si>
  <si>
    <t>Bokserska 34 (mieszkalne)</t>
  </si>
  <si>
    <t>Bokserska 38 (mieszkalne)</t>
  </si>
  <si>
    <t>Gotarda 8 (mieszkalne)</t>
  </si>
  <si>
    <t>GRUSZCZYŃSKIEGO 17 (użytkowe)</t>
  </si>
  <si>
    <t>Jadźwingów 16 (mieszkalne)</t>
  </si>
  <si>
    <t>Jadźwingów 22 (mieszkalne)</t>
  </si>
  <si>
    <t>Jadźwingów 5/7 (mieszkalne)</t>
  </si>
  <si>
    <t>Modra 1 (mieszkalne)</t>
  </si>
  <si>
    <t>Obrzeżna 16 (mieszkalne)</t>
  </si>
  <si>
    <t>Obrzeżna 6 (mieszkalne)</t>
  </si>
  <si>
    <t>Obrzeżna 8 (mieszkalne)</t>
  </si>
  <si>
    <t>Orzycka 24 (mieszkalne)</t>
  </si>
  <si>
    <t>ORZYCKA 24 (użytkowe)</t>
  </si>
  <si>
    <t>P.Gruszczyńskiego 14 (mieszkalne)</t>
  </si>
  <si>
    <t>P.Gruszczyńskiego 14A (mieszkalne)</t>
  </si>
  <si>
    <t>P.Gruszczyńskiego 17 (mieszkalne)</t>
  </si>
  <si>
    <t>P.Gruszczyńskiego 17 (użytkowe)</t>
  </si>
  <si>
    <t>Pieńkowskiego 4 (mieszkalne)</t>
  </si>
  <si>
    <t>Rzymowskiego 39 (mieszkalne)</t>
  </si>
  <si>
    <t>Rzymowskiego 45 (mieszkalne)</t>
  </si>
  <si>
    <t>RZYMOWSKIEGO 45 (użytkowe)</t>
  </si>
  <si>
    <t>Rzymowskiego 49 (mieszkalne)</t>
  </si>
  <si>
    <t>Śniardwy 3 (mieszkalne)</t>
  </si>
  <si>
    <t>Śniardwy 5 (mieszkalne)</t>
  </si>
  <si>
    <t>ŚNIARDWY 6 (mieszkalne)</t>
  </si>
  <si>
    <t>Śniardwy 8 (mieszkalne)</t>
  </si>
  <si>
    <t>Tuchlińska 2 (mieszkalne)</t>
  </si>
  <si>
    <t>Tuchlińska 4 (mieszkalne)</t>
  </si>
  <si>
    <t>tutaj uwzględnione korekty ale błąd o 1 zł</t>
  </si>
  <si>
    <t>niewpisane</t>
  </si>
  <si>
    <t>w 11 zła kwota, w 12 dodana korekta, ale już druga nie została odjęta</t>
  </si>
  <si>
    <t>nie wpisał 01,02,06,07,09,10,11</t>
  </si>
  <si>
    <t>nie ujęte obie pozycje dla linik zimna woda, raz wrzucome do ścieków, poprawnie do 05.2025</t>
  </si>
  <si>
    <t>zła kwota</t>
  </si>
  <si>
    <t xml:space="preserve">zła kwota, </t>
  </si>
  <si>
    <t>niedoliczona korekta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</si>
</sst>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zł&quot;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11"/>
      <color rgb="FF9C0006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">
    <xf numFmtId="0" fontId="0" fillId="0" borderId="0"/>
    <xf numFmtId="0" fontId="4" fillId="6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164" fontId="0" fillId="3" borderId="1" xfId="0" applyNumberFormat="1" applyFill="1" applyBorder="1"/>
    <xf numFmtId="164" fontId="3" fillId="3" borderId="1" xfId="0" applyNumberFormat="1" applyFont="1" applyFill="1" applyBorder="1"/>
    <xf numFmtId="0" fontId="3" fillId="0" borderId="1" xfId="0" applyFont="1" applyBorder="1"/>
    <xf numFmtId="164" fontId="0" fillId="0" borderId="1" xfId="0" applyNumberFormat="1" applyBorder="1"/>
    <xf numFmtId="164" fontId="3" fillId="0" borderId="1" xfId="0" applyNumberFormat="1" applyFont="1" applyBorder="1"/>
    <xf numFmtId="164" fontId="0" fillId="4" borderId="1" xfId="0" applyNumberFormat="1" applyFill="1" applyBorder="1"/>
    <xf numFmtId="164" fontId="0" fillId="0" borderId="0" xfId="0" applyNumberFormat="1"/>
    <xf numFmtId="164" fontId="0" fillId="5" borderId="1" xfId="0" applyNumberFormat="1" applyFill="1" applyBorder="1"/>
    <xf numFmtId="164" fontId="4" fillId="6" borderId="1" xfId="1" applyNumberFormat="1" applyBorder="1"/>
  </cellXfs>
  <cellStyles count="2">
    <cellStyle name="Normalny" xfId="0" builtinId="0"/>
    <cellStyle name="Złe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1"/>
  <sheetViews>
    <sheetView tabSelected="1" topLeftCell="A46" zoomScaleNormal="100" workbookViewId="0">
      <selection activeCell="P8" sqref="P8"/>
    </sheetView>
  </sheetViews>
  <sheetFormatPr defaultRowHeight="15" x14ac:dyDescent="0.25"/>
  <cols>
    <col min="1" max="1" width="28.42578125" customWidth="1"/>
    <col min="2" max="13" width="13" customWidth="1"/>
    <col min="14" max="14" width="14" customWidth="1"/>
    <col min="15" max="15" width="10.42578125" bestFit="1" customWidth="1"/>
    <col min="16" max="16" width="63" customWidth="1"/>
  </cols>
  <sheetData>
    <row r="1" spans="1:16" ht="18.75" x14ac:dyDescent="0.3">
      <c r="A1" s="1" t="s">
        <v>0</v>
      </c>
    </row>
    <row r="3" spans="1:16" ht="15.75" x14ac:dyDescent="0.25">
      <c r="A3" s="2" t="s">
        <v>1</v>
      </c>
    </row>
    <row r="4" spans="1:16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6" x14ac:dyDescent="0.25">
      <c r="A5" s="5" t="s">
        <v>16</v>
      </c>
      <c r="B5" s="6">
        <v>3324</v>
      </c>
      <c r="C5" s="6">
        <v>3324</v>
      </c>
      <c r="D5" s="6">
        <v>3324</v>
      </c>
      <c r="E5" s="6">
        <v>3324</v>
      </c>
      <c r="F5" s="6">
        <v>3324</v>
      </c>
      <c r="G5" s="6">
        <v>3324</v>
      </c>
      <c r="H5" s="6">
        <v>3324</v>
      </c>
      <c r="I5" s="6">
        <v>3324</v>
      </c>
      <c r="J5" s="6">
        <v>3324</v>
      </c>
      <c r="K5" s="6">
        <v>3324</v>
      </c>
      <c r="L5" s="6">
        <v>3324</v>
      </c>
      <c r="M5" s="6">
        <v>3324</v>
      </c>
      <c r="N5" s="7">
        <f t="shared" ref="N5:N17" si="0">SUM(B5:M5)</f>
        <v>39888</v>
      </c>
    </row>
    <row r="6" spans="1:16" x14ac:dyDescent="0.25">
      <c r="A6" s="8" t="s">
        <v>17</v>
      </c>
      <c r="B6" s="9">
        <v>8310</v>
      </c>
      <c r="C6" s="9">
        <v>8310</v>
      </c>
      <c r="D6" s="9">
        <v>8310</v>
      </c>
      <c r="E6" s="9">
        <v>8310</v>
      </c>
      <c r="F6" s="9">
        <v>8310</v>
      </c>
      <c r="G6" s="9">
        <v>8310</v>
      </c>
      <c r="H6" s="9">
        <v>8310</v>
      </c>
      <c r="I6" s="9">
        <v>8310</v>
      </c>
      <c r="J6" s="9">
        <v>8310</v>
      </c>
      <c r="K6" s="9">
        <v>8310</v>
      </c>
      <c r="L6" s="9">
        <v>8310</v>
      </c>
      <c r="M6" s="9">
        <v>8310</v>
      </c>
      <c r="N6" s="10">
        <f t="shared" si="0"/>
        <v>99720</v>
      </c>
    </row>
    <row r="7" spans="1:16" x14ac:dyDescent="0.25">
      <c r="A7" s="8" t="s">
        <v>18</v>
      </c>
      <c r="B7" s="9">
        <v>1163.4000000000001</v>
      </c>
      <c r="C7" s="9">
        <v>1163.4000000000001</v>
      </c>
      <c r="D7" s="9">
        <v>1163.4000000000001</v>
      </c>
      <c r="E7" s="9">
        <v>1163.4000000000001</v>
      </c>
      <c r="F7" s="9">
        <v>1163.4000000000001</v>
      </c>
      <c r="G7" s="9">
        <v>1163.4000000000001</v>
      </c>
      <c r="H7" s="9">
        <v>1163.4000000000001</v>
      </c>
      <c r="I7" s="9">
        <v>1163.4000000000001</v>
      </c>
      <c r="J7" s="9">
        <v>1163.4000000000001</v>
      </c>
      <c r="K7" s="9">
        <v>1163.4000000000001</v>
      </c>
      <c r="L7" s="9">
        <v>1163.4000000000001</v>
      </c>
      <c r="M7" s="9">
        <v>1163.4000000000001</v>
      </c>
      <c r="N7" s="10">
        <f t="shared" si="0"/>
        <v>13960.799999999997</v>
      </c>
    </row>
    <row r="8" spans="1:16" x14ac:dyDescent="0.25">
      <c r="A8" s="8" t="s">
        <v>19</v>
      </c>
      <c r="B8" s="9">
        <v>6092</v>
      </c>
      <c r="C8" s="9">
        <v>6092</v>
      </c>
      <c r="D8" s="9">
        <v>6092</v>
      </c>
      <c r="E8" s="9">
        <v>5972</v>
      </c>
      <c r="F8" s="9">
        <v>5972</v>
      </c>
      <c r="G8" s="9">
        <v>5972</v>
      </c>
      <c r="H8" s="9">
        <v>5972</v>
      </c>
      <c r="I8" s="9">
        <v>5972</v>
      </c>
      <c r="J8" s="9">
        <v>5972</v>
      </c>
      <c r="K8" s="9">
        <v>5972</v>
      </c>
      <c r="L8" s="11">
        <v>5972</v>
      </c>
      <c r="M8" s="11">
        <f>6012-100</f>
        <v>5912</v>
      </c>
      <c r="N8" s="10">
        <f t="shared" si="0"/>
        <v>71964</v>
      </c>
      <c r="O8" s="12">
        <f>SUM(H8:M8)</f>
        <v>35772</v>
      </c>
      <c r="P8" t="s">
        <v>60</v>
      </c>
    </row>
    <row r="9" spans="1:16" x14ac:dyDescent="0.25">
      <c r="A9" s="8" t="s">
        <v>20</v>
      </c>
      <c r="B9" s="9">
        <v>200</v>
      </c>
      <c r="C9" s="9">
        <v>200</v>
      </c>
      <c r="D9" s="9">
        <v>200</v>
      </c>
      <c r="E9" s="9">
        <v>200</v>
      </c>
      <c r="F9" s="9">
        <v>200</v>
      </c>
      <c r="G9" s="9">
        <v>200</v>
      </c>
      <c r="H9" s="9">
        <v>200</v>
      </c>
      <c r="I9" s="9">
        <v>200</v>
      </c>
      <c r="J9" s="9">
        <v>200</v>
      </c>
      <c r="K9" s="9">
        <v>200</v>
      </c>
      <c r="L9" s="9">
        <v>200</v>
      </c>
      <c r="M9" s="9">
        <v>200</v>
      </c>
      <c r="N9" s="10">
        <f t="shared" si="0"/>
        <v>2400</v>
      </c>
    </row>
    <row r="10" spans="1:16" x14ac:dyDescent="0.25">
      <c r="A10" s="8" t="s">
        <v>21</v>
      </c>
      <c r="B10" s="9">
        <v>4212.04</v>
      </c>
      <c r="C10" s="9">
        <v>4212.04</v>
      </c>
      <c r="D10" s="9">
        <v>4212.04</v>
      </c>
      <c r="E10" s="9">
        <v>4129.72</v>
      </c>
      <c r="F10" s="9">
        <v>4129.72</v>
      </c>
      <c r="G10" s="9">
        <v>4129.72</v>
      </c>
      <c r="H10" s="9">
        <v>4129.72</v>
      </c>
      <c r="I10" s="9">
        <v>4484.8999999999996</v>
      </c>
      <c r="J10" s="9">
        <v>4484.8999999999996</v>
      </c>
      <c r="K10" s="9">
        <v>4484.8999999999996</v>
      </c>
      <c r="L10" s="9">
        <v>4484.8999999999996</v>
      </c>
      <c r="M10" s="11">
        <f>4514.7-74.5</f>
        <v>4440.2</v>
      </c>
      <c r="N10" s="10">
        <f t="shared" si="0"/>
        <v>51534.8</v>
      </c>
      <c r="O10" s="12">
        <f>SUM(H10:M10)</f>
        <v>26509.52</v>
      </c>
      <c r="P10" t="s">
        <v>58</v>
      </c>
    </row>
    <row r="11" spans="1:16" x14ac:dyDescent="0.25">
      <c r="A11" s="8" t="s">
        <v>22</v>
      </c>
      <c r="B11" s="9">
        <v>246.96</v>
      </c>
      <c r="C11" s="9">
        <v>246.96</v>
      </c>
      <c r="D11" s="9">
        <v>246.96</v>
      </c>
      <c r="E11" s="9">
        <v>246.96</v>
      </c>
      <c r="F11" s="9">
        <v>246.96</v>
      </c>
      <c r="G11" s="9">
        <v>246.96</v>
      </c>
      <c r="H11" s="9">
        <v>246.96</v>
      </c>
      <c r="I11" s="9">
        <v>268.2</v>
      </c>
      <c r="J11" s="9">
        <v>268.2</v>
      </c>
      <c r="K11" s="9">
        <v>268.2</v>
      </c>
      <c r="L11" s="11">
        <v>268.2</v>
      </c>
      <c r="M11" s="9">
        <v>268.2</v>
      </c>
      <c r="N11" s="10">
        <f t="shared" si="0"/>
        <v>3069.7199999999993</v>
      </c>
      <c r="O11" t="s">
        <v>59</v>
      </c>
    </row>
    <row r="12" spans="1:16" x14ac:dyDescent="0.25">
      <c r="A12" s="8" t="s">
        <v>23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>
        <f t="shared" si="0"/>
        <v>0</v>
      </c>
    </row>
    <row r="13" spans="1:16" x14ac:dyDescent="0.25">
      <c r="A13" s="8" t="s">
        <v>24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0">
        <f t="shared" si="0"/>
        <v>0</v>
      </c>
    </row>
    <row r="14" spans="1:16" x14ac:dyDescent="0.25">
      <c r="A14" s="5" t="s">
        <v>25</v>
      </c>
      <c r="B14" s="6">
        <v>20224.400000000001</v>
      </c>
      <c r="C14" s="6">
        <v>20224.400000000001</v>
      </c>
      <c r="D14" s="6">
        <v>20224.400000000001</v>
      </c>
      <c r="E14" s="6">
        <v>20022.080000000002</v>
      </c>
      <c r="F14" s="6">
        <v>20022.080000000002</v>
      </c>
      <c r="G14" s="6">
        <v>20022.080000000002</v>
      </c>
      <c r="H14" s="6">
        <v>20022.080000000002</v>
      </c>
      <c r="I14" s="6">
        <v>20398.5</v>
      </c>
      <c r="J14" s="6">
        <v>20398.5</v>
      </c>
      <c r="K14" s="6">
        <v>20398.5</v>
      </c>
      <c r="L14" s="6">
        <v>20398.5</v>
      </c>
      <c r="M14" s="6">
        <v>20468.3</v>
      </c>
      <c r="N14" s="7">
        <f t="shared" si="0"/>
        <v>242823.82</v>
      </c>
    </row>
    <row r="15" spans="1:16" x14ac:dyDescent="0.25">
      <c r="A15" s="5" t="s">
        <v>26</v>
      </c>
      <c r="B15" s="6">
        <v>2400</v>
      </c>
      <c r="C15" s="6">
        <v>2400</v>
      </c>
      <c r="D15" s="6">
        <v>2400</v>
      </c>
      <c r="E15" s="6">
        <v>2340</v>
      </c>
      <c r="F15" s="6">
        <v>2340</v>
      </c>
      <c r="G15" s="6">
        <v>2340</v>
      </c>
      <c r="H15" s="6">
        <v>2340</v>
      </c>
      <c r="I15" s="6">
        <v>2340</v>
      </c>
      <c r="J15" s="6">
        <v>2340</v>
      </c>
      <c r="K15" s="6">
        <v>2340</v>
      </c>
      <c r="L15" s="6">
        <v>2340</v>
      </c>
      <c r="M15" s="6">
        <v>2460</v>
      </c>
      <c r="N15" s="7">
        <f t="shared" si="0"/>
        <v>28380</v>
      </c>
    </row>
    <row r="16" spans="1:16" x14ac:dyDescent="0.25">
      <c r="A16" s="5" t="s">
        <v>27</v>
      </c>
      <c r="B16" s="6">
        <v>4155</v>
      </c>
      <c r="C16" s="6">
        <v>4155</v>
      </c>
      <c r="D16" s="6">
        <v>4155</v>
      </c>
      <c r="E16" s="6">
        <v>4155</v>
      </c>
      <c r="F16" s="6">
        <v>4155</v>
      </c>
      <c r="G16" s="6">
        <v>4155</v>
      </c>
      <c r="H16" s="6">
        <v>4155</v>
      </c>
      <c r="I16" s="6">
        <v>4155</v>
      </c>
      <c r="J16" s="6">
        <v>4155</v>
      </c>
      <c r="K16" s="6">
        <v>4155</v>
      </c>
      <c r="L16" s="6">
        <v>4155</v>
      </c>
      <c r="M16" s="6">
        <v>4155</v>
      </c>
      <c r="N16" s="7">
        <f t="shared" si="0"/>
        <v>49860</v>
      </c>
    </row>
    <row r="17" spans="1:16" x14ac:dyDescent="0.25">
      <c r="A17" s="5" t="s">
        <v>28</v>
      </c>
      <c r="B17" s="6">
        <v>30103.4</v>
      </c>
      <c r="C17" s="6">
        <v>30103.4</v>
      </c>
      <c r="D17" s="6">
        <v>30103.4</v>
      </c>
      <c r="E17" s="6">
        <v>29841.08</v>
      </c>
      <c r="F17" s="6">
        <v>2340</v>
      </c>
      <c r="G17" s="6">
        <v>20632.7</v>
      </c>
      <c r="H17" s="6">
        <v>29841.08</v>
      </c>
      <c r="I17" s="6">
        <v>30217.5</v>
      </c>
      <c r="J17" s="6">
        <v>8788.2000000000007</v>
      </c>
      <c r="K17" s="6">
        <v>30217.5</v>
      </c>
      <c r="L17" s="6">
        <v>30217.5</v>
      </c>
      <c r="M17" s="6">
        <v>30407.3</v>
      </c>
      <c r="N17" s="7">
        <f t="shared" si="0"/>
        <v>302813.06</v>
      </c>
    </row>
    <row r="19" spans="1:16" ht="15.75" x14ac:dyDescent="0.25">
      <c r="A19" s="2" t="s">
        <v>29</v>
      </c>
    </row>
    <row r="20" spans="1:16" x14ac:dyDescent="0.25">
      <c r="A20" s="3" t="s">
        <v>2</v>
      </c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  <c r="G20" s="4" t="s">
        <v>8</v>
      </c>
      <c r="H20" s="4" t="s">
        <v>9</v>
      </c>
      <c r="I20" s="4" t="s">
        <v>10</v>
      </c>
      <c r="J20" s="4" t="s">
        <v>11</v>
      </c>
      <c r="K20" s="4" t="s">
        <v>12</v>
      </c>
      <c r="L20" s="4" t="s">
        <v>13</v>
      </c>
      <c r="M20" s="4" t="s">
        <v>14</v>
      </c>
      <c r="N20" s="4" t="s">
        <v>15</v>
      </c>
    </row>
    <row r="21" spans="1:16" x14ac:dyDescent="0.25">
      <c r="A21" s="5" t="s">
        <v>16</v>
      </c>
      <c r="B21" s="6">
        <v>488.43</v>
      </c>
      <c r="C21" s="6">
        <v>488.43</v>
      </c>
      <c r="D21" s="6">
        <v>488.43</v>
      </c>
      <c r="E21" s="6">
        <v>488.43</v>
      </c>
      <c r="F21" s="6">
        <v>488.43</v>
      </c>
      <c r="G21" s="6">
        <v>488.43</v>
      </c>
      <c r="H21" s="6">
        <v>488.43</v>
      </c>
      <c r="I21" s="6">
        <v>488.43</v>
      </c>
      <c r="J21" s="6">
        <v>488.43</v>
      </c>
      <c r="K21" s="6">
        <v>488.43</v>
      </c>
      <c r="L21" s="6">
        <v>488.43</v>
      </c>
      <c r="M21" s="6">
        <v>488.43</v>
      </c>
      <c r="N21" s="7">
        <f t="shared" ref="N21:N33" si="1">SUM(B21:M21)</f>
        <v>5861.1600000000008</v>
      </c>
    </row>
    <row r="22" spans="1:16" x14ac:dyDescent="0.25">
      <c r="A22" s="8" t="s">
        <v>17</v>
      </c>
      <c r="B22" s="9">
        <v>575.5</v>
      </c>
      <c r="C22" s="9">
        <v>575.5</v>
      </c>
      <c r="D22" s="9">
        <v>575.5</v>
      </c>
      <c r="E22" s="9">
        <v>575.5</v>
      </c>
      <c r="F22" s="9">
        <v>575.5</v>
      </c>
      <c r="G22" s="9">
        <v>575.5</v>
      </c>
      <c r="H22" s="9">
        <v>575.5</v>
      </c>
      <c r="I22" s="9">
        <v>575.5</v>
      </c>
      <c r="J22" s="9">
        <v>575.5</v>
      </c>
      <c r="K22" s="9">
        <v>575.5</v>
      </c>
      <c r="L22" s="9">
        <v>575.5</v>
      </c>
      <c r="M22" s="9">
        <v>575.5</v>
      </c>
      <c r="N22" s="10">
        <f t="shared" si="1"/>
        <v>6906</v>
      </c>
    </row>
    <row r="23" spans="1:16" x14ac:dyDescent="0.25">
      <c r="A23" s="8" t="s">
        <v>18</v>
      </c>
      <c r="B23" s="9">
        <v>80.569999999999993</v>
      </c>
      <c r="C23" s="9">
        <v>80.569999999999993</v>
      </c>
      <c r="D23" s="9">
        <v>80.569999999999993</v>
      </c>
      <c r="E23" s="9">
        <v>80.569999999999993</v>
      </c>
      <c r="F23" s="9">
        <v>80.569999999999993</v>
      </c>
      <c r="G23" s="9">
        <v>80.569999999999993</v>
      </c>
      <c r="H23" s="9">
        <v>80.569999999999993</v>
      </c>
      <c r="I23" s="9">
        <v>80.569999999999993</v>
      </c>
      <c r="J23" s="9">
        <v>80.569999999999993</v>
      </c>
      <c r="K23" s="9">
        <v>80.569999999999993</v>
      </c>
      <c r="L23" s="9">
        <v>80.569999999999993</v>
      </c>
      <c r="M23" s="9">
        <v>80.569999999999993</v>
      </c>
      <c r="N23" s="10">
        <f t="shared" si="1"/>
        <v>966.83999999999969</v>
      </c>
    </row>
    <row r="24" spans="1:16" x14ac:dyDescent="0.25">
      <c r="A24" s="8" t="s">
        <v>19</v>
      </c>
      <c r="B24" s="9">
        <v>560</v>
      </c>
      <c r="C24" s="9">
        <v>560</v>
      </c>
      <c r="D24" s="9">
        <v>560</v>
      </c>
      <c r="E24" s="9">
        <v>560</v>
      </c>
      <c r="F24" s="9">
        <v>560</v>
      </c>
      <c r="G24" s="9">
        <v>560</v>
      </c>
      <c r="H24" s="9">
        <v>560</v>
      </c>
      <c r="I24" s="9">
        <v>560</v>
      </c>
      <c r="J24" s="9">
        <v>560</v>
      </c>
      <c r="K24" s="9">
        <v>560</v>
      </c>
      <c r="L24" s="9">
        <v>560</v>
      </c>
      <c r="M24" s="9">
        <v>560</v>
      </c>
      <c r="N24" s="10">
        <f t="shared" si="1"/>
        <v>6720</v>
      </c>
    </row>
    <row r="25" spans="1:16" x14ac:dyDescent="0.25">
      <c r="A25" s="8" t="s">
        <v>20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0">
        <f t="shared" si="1"/>
        <v>0</v>
      </c>
    </row>
    <row r="26" spans="1:16" x14ac:dyDescent="0.25">
      <c r="A26" s="8" t="s">
        <v>21</v>
      </c>
      <c r="B26" s="9">
        <v>548.79999999999995</v>
      </c>
      <c r="C26" s="9">
        <v>343</v>
      </c>
      <c r="D26" s="9">
        <v>343</v>
      </c>
      <c r="E26" s="9">
        <v>548.79999999999995</v>
      </c>
      <c r="F26" s="9">
        <v>548.79999999999995</v>
      </c>
      <c r="G26" s="9">
        <v>343</v>
      </c>
      <c r="H26" s="9">
        <v>343</v>
      </c>
      <c r="I26" s="9">
        <v>372.5</v>
      </c>
      <c r="J26" s="9">
        <v>372.5</v>
      </c>
      <c r="K26" s="9">
        <v>372.5</v>
      </c>
      <c r="L26" s="9">
        <v>372.5</v>
      </c>
      <c r="M26" s="9">
        <v>372.5</v>
      </c>
      <c r="N26" s="10">
        <f t="shared" si="1"/>
        <v>4880.8999999999996</v>
      </c>
    </row>
    <row r="27" spans="1:16" x14ac:dyDescent="0.25">
      <c r="A27" s="8" t="s">
        <v>22</v>
      </c>
      <c r="B27" s="11">
        <v>137.19999999999999</v>
      </c>
      <c r="C27" s="11">
        <v>137.19999999999999</v>
      </c>
      <c r="D27" s="11">
        <v>137.19999999999999</v>
      </c>
      <c r="E27" s="11">
        <v>137.19999999999999</v>
      </c>
      <c r="F27" s="11">
        <v>137.19999999999999</v>
      </c>
      <c r="G27" s="11">
        <v>137.19999999999999</v>
      </c>
      <c r="H27" s="11">
        <v>137.19999999999999</v>
      </c>
      <c r="I27" s="11">
        <v>149</v>
      </c>
      <c r="J27" s="11">
        <v>149</v>
      </c>
      <c r="K27" s="11">
        <v>149</v>
      </c>
      <c r="L27" s="11">
        <v>149</v>
      </c>
      <c r="M27" s="11">
        <v>149</v>
      </c>
      <c r="N27" s="10">
        <f t="shared" si="1"/>
        <v>1705.4</v>
      </c>
      <c r="O27" s="12">
        <f>N27+O28</f>
        <v>5234.2000000000007</v>
      </c>
      <c r="P27" t="s">
        <v>61</v>
      </c>
    </row>
    <row r="28" spans="1:16" x14ac:dyDescent="0.25">
      <c r="A28" s="8" t="s">
        <v>23</v>
      </c>
      <c r="B28" s="11"/>
      <c r="C28" s="11"/>
      <c r="D28" s="11"/>
      <c r="E28" s="11"/>
      <c r="F28" s="11"/>
      <c r="G28" s="11"/>
      <c r="H28" s="11">
        <v>205.8</v>
      </c>
      <c r="I28" s="9">
        <v>223.5</v>
      </c>
      <c r="J28" s="11">
        <v>223.5</v>
      </c>
      <c r="K28" s="11">
        <v>223.5</v>
      </c>
      <c r="L28" s="11">
        <v>223.5</v>
      </c>
      <c r="M28" s="11">
        <v>223.5</v>
      </c>
      <c r="N28" s="10">
        <f t="shared" si="1"/>
        <v>1323.3</v>
      </c>
      <c r="O28" s="12">
        <f>SUM(H26:M26,H28:M28)</f>
        <v>3528.8</v>
      </c>
      <c r="P28" t="s">
        <v>62</v>
      </c>
    </row>
    <row r="29" spans="1:16" x14ac:dyDescent="0.25">
      <c r="A29" s="8" t="s">
        <v>24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10">
        <f t="shared" si="1"/>
        <v>0</v>
      </c>
      <c r="O29" s="12"/>
    </row>
    <row r="30" spans="1:16" x14ac:dyDescent="0.25">
      <c r="A30" s="5" t="s">
        <v>25</v>
      </c>
      <c r="B30" s="6">
        <v>1902.07</v>
      </c>
      <c r="C30" s="6">
        <v>1902.07</v>
      </c>
      <c r="D30" s="6">
        <v>1902.07</v>
      </c>
      <c r="E30" s="6">
        <v>1902.07</v>
      </c>
      <c r="F30" s="6">
        <v>1902.07</v>
      </c>
      <c r="G30" s="6">
        <v>1902.07</v>
      </c>
      <c r="H30" s="6">
        <v>1902.07</v>
      </c>
      <c r="I30" s="6">
        <v>1961.07</v>
      </c>
      <c r="J30" s="6">
        <v>1961.07</v>
      </c>
      <c r="K30" s="6">
        <v>1961.07</v>
      </c>
      <c r="L30" s="6">
        <v>1961.07</v>
      </c>
      <c r="M30" s="6">
        <v>1961.07</v>
      </c>
      <c r="N30" s="7">
        <f t="shared" si="1"/>
        <v>23119.84</v>
      </c>
      <c r="O30" s="12"/>
    </row>
    <row r="31" spans="1:16" x14ac:dyDescent="0.25">
      <c r="A31" s="5" t="s">
        <v>26</v>
      </c>
      <c r="B31" s="6">
        <v>240</v>
      </c>
      <c r="C31" s="6">
        <v>240</v>
      </c>
      <c r="D31" s="6">
        <v>240</v>
      </c>
      <c r="E31" s="6">
        <v>240</v>
      </c>
      <c r="F31" s="6">
        <v>240</v>
      </c>
      <c r="G31" s="6">
        <v>240</v>
      </c>
      <c r="H31" s="6">
        <v>240</v>
      </c>
      <c r="I31" s="6">
        <v>240</v>
      </c>
      <c r="J31" s="6">
        <v>240</v>
      </c>
      <c r="K31" s="6">
        <v>240</v>
      </c>
      <c r="L31" s="6">
        <v>240</v>
      </c>
      <c r="M31" s="6">
        <v>240</v>
      </c>
      <c r="N31" s="7">
        <f t="shared" si="1"/>
        <v>2880</v>
      </c>
    </row>
    <row r="32" spans="1:16" x14ac:dyDescent="0.25">
      <c r="A32" s="5" t="s">
        <v>27</v>
      </c>
      <c r="B32" s="6">
        <v>814.05</v>
      </c>
      <c r="C32" s="6">
        <v>814.05</v>
      </c>
      <c r="D32" s="6">
        <v>814.05</v>
      </c>
      <c r="E32" s="6">
        <v>814.05</v>
      </c>
      <c r="F32" s="6">
        <v>814.05</v>
      </c>
      <c r="G32" s="6">
        <v>814.05</v>
      </c>
      <c r="H32" s="6">
        <v>814.05</v>
      </c>
      <c r="I32" s="6">
        <v>814.05</v>
      </c>
      <c r="J32" s="6">
        <v>814.05</v>
      </c>
      <c r="K32" s="6">
        <v>814.05</v>
      </c>
      <c r="L32" s="6">
        <v>814.05</v>
      </c>
      <c r="M32" s="6">
        <v>814.05</v>
      </c>
      <c r="N32" s="7">
        <f t="shared" si="1"/>
        <v>9768.6</v>
      </c>
    </row>
    <row r="33" spans="1:15" x14ac:dyDescent="0.25">
      <c r="A33" s="5" t="s">
        <v>28</v>
      </c>
      <c r="B33" s="6">
        <v>3444.55</v>
      </c>
      <c r="C33" s="6">
        <v>3444.55</v>
      </c>
      <c r="D33" s="6">
        <v>3444.55</v>
      </c>
      <c r="E33" s="6">
        <v>3444.55</v>
      </c>
      <c r="F33" s="6">
        <v>5289.76</v>
      </c>
      <c r="G33" s="6">
        <v>3444.55</v>
      </c>
      <c r="H33" s="6">
        <v>3444.55</v>
      </c>
      <c r="I33" s="6">
        <v>3503.55</v>
      </c>
      <c r="J33" s="6">
        <v>5712.57</v>
      </c>
      <c r="K33" s="6">
        <v>3503.55</v>
      </c>
      <c r="L33" s="6">
        <v>3503.55</v>
      </c>
      <c r="M33" s="6">
        <v>3503.55</v>
      </c>
      <c r="N33" s="7">
        <f t="shared" si="1"/>
        <v>45683.83</v>
      </c>
    </row>
    <row r="35" spans="1:15" ht="15.75" x14ac:dyDescent="0.25">
      <c r="A35" s="2" t="s">
        <v>30</v>
      </c>
    </row>
    <row r="36" spans="1:15" x14ac:dyDescent="0.25">
      <c r="A36" s="3" t="s">
        <v>2</v>
      </c>
      <c r="B36" s="4" t="s">
        <v>3</v>
      </c>
      <c r="C36" s="4" t="s">
        <v>4</v>
      </c>
      <c r="D36" s="4" t="s">
        <v>5</v>
      </c>
      <c r="E36" s="4" t="s">
        <v>6</v>
      </c>
      <c r="F36" s="4" t="s">
        <v>7</v>
      </c>
      <c r="G36" s="4" t="s">
        <v>8</v>
      </c>
      <c r="H36" s="4" t="s">
        <v>9</v>
      </c>
      <c r="I36" s="4" t="s">
        <v>10</v>
      </c>
      <c r="J36" s="4" t="s">
        <v>11</v>
      </c>
      <c r="K36" s="4" t="s">
        <v>12</v>
      </c>
      <c r="L36" s="4" t="s">
        <v>13</v>
      </c>
      <c r="M36" s="4" t="s">
        <v>14</v>
      </c>
      <c r="N36" s="4" t="s">
        <v>15</v>
      </c>
    </row>
    <row r="37" spans="1:15" x14ac:dyDescent="0.25">
      <c r="A37" s="5" t="s">
        <v>16</v>
      </c>
      <c r="B37" s="6">
        <v>3234.21</v>
      </c>
      <c r="C37" s="6">
        <v>3234.21</v>
      </c>
      <c r="D37" s="6">
        <v>3234.21</v>
      </c>
      <c r="E37" s="6">
        <v>3234.21</v>
      </c>
      <c r="F37" s="6">
        <v>3234.21</v>
      </c>
      <c r="G37" s="6">
        <v>3234.21</v>
      </c>
      <c r="H37" s="6">
        <v>3234.21</v>
      </c>
      <c r="I37" s="6">
        <v>3234.21</v>
      </c>
      <c r="J37" s="6">
        <v>3234.21</v>
      </c>
      <c r="K37" s="6">
        <v>3234.21</v>
      </c>
      <c r="L37" s="6">
        <v>3234.21</v>
      </c>
      <c r="M37" s="6">
        <v>3234.21</v>
      </c>
      <c r="N37" s="7">
        <f t="shared" ref="N37:N49" si="2">SUM(B37:M37)</f>
        <v>38810.519999999997</v>
      </c>
    </row>
    <row r="38" spans="1:15" x14ac:dyDescent="0.25">
      <c r="A38" s="8" t="s">
        <v>17</v>
      </c>
      <c r="B38" s="9">
        <v>6327.81</v>
      </c>
      <c r="C38" s="9">
        <v>6327.81</v>
      </c>
      <c r="D38" s="9">
        <v>6327.81</v>
      </c>
      <c r="E38" s="9">
        <v>6327.81</v>
      </c>
      <c r="F38" s="9">
        <v>6327.81</v>
      </c>
      <c r="G38" s="9">
        <v>6327.81</v>
      </c>
      <c r="H38" s="9">
        <v>6327.81</v>
      </c>
      <c r="I38" s="9">
        <v>6327.81</v>
      </c>
      <c r="J38" s="9">
        <v>6327.81</v>
      </c>
      <c r="K38" s="9">
        <v>6327.81</v>
      </c>
      <c r="L38" s="9">
        <v>6327.81</v>
      </c>
      <c r="M38" s="9">
        <v>6327.81</v>
      </c>
      <c r="N38" s="10">
        <f t="shared" si="2"/>
        <v>75933.719999999987</v>
      </c>
    </row>
    <row r="39" spans="1:15" x14ac:dyDescent="0.25">
      <c r="A39" s="8" t="s">
        <v>18</v>
      </c>
      <c r="B39" s="9">
        <v>984.33</v>
      </c>
      <c r="C39" s="9">
        <v>984.33</v>
      </c>
      <c r="D39" s="9">
        <v>984.33</v>
      </c>
      <c r="E39" s="9">
        <v>984.33</v>
      </c>
      <c r="F39" s="9">
        <v>984.33</v>
      </c>
      <c r="G39" s="9">
        <v>984.33</v>
      </c>
      <c r="H39" s="9">
        <v>984.33</v>
      </c>
      <c r="I39" s="9">
        <v>984.33</v>
      </c>
      <c r="J39" s="9">
        <v>984.33</v>
      </c>
      <c r="K39" s="9">
        <v>984.33</v>
      </c>
      <c r="L39" s="9">
        <v>984.33</v>
      </c>
      <c r="M39" s="9">
        <v>984.33</v>
      </c>
      <c r="N39" s="10">
        <f t="shared" si="2"/>
        <v>11811.960000000001</v>
      </c>
    </row>
    <row r="40" spans="1:15" x14ac:dyDescent="0.25">
      <c r="A40" s="8" t="s">
        <v>19</v>
      </c>
      <c r="B40" s="9">
        <v>4140</v>
      </c>
      <c r="C40" s="9">
        <v>4140</v>
      </c>
      <c r="D40" s="9">
        <v>4180</v>
      </c>
      <c r="E40" s="9">
        <v>4340</v>
      </c>
      <c r="F40" s="9">
        <v>4340</v>
      </c>
      <c r="G40" s="9">
        <v>4340</v>
      </c>
      <c r="H40" s="9">
        <v>4340</v>
      </c>
      <c r="I40" s="9">
        <v>4280</v>
      </c>
      <c r="J40" s="9">
        <v>4280</v>
      </c>
      <c r="K40" s="9">
        <v>3960</v>
      </c>
      <c r="L40" s="9">
        <v>3900</v>
      </c>
      <c r="M40" s="9">
        <f>3900+160</f>
        <v>4060</v>
      </c>
      <c r="N40" s="10">
        <f t="shared" si="2"/>
        <v>50300</v>
      </c>
      <c r="O40" s="12">
        <f>SUM(H40:M40)</f>
        <v>24820</v>
      </c>
    </row>
    <row r="41" spans="1:15" x14ac:dyDescent="0.25">
      <c r="A41" s="8" t="s">
        <v>20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0">
        <f t="shared" si="2"/>
        <v>0</v>
      </c>
    </row>
    <row r="42" spans="1:15" x14ac:dyDescent="0.25">
      <c r="A42" s="8" t="s">
        <v>21</v>
      </c>
      <c r="B42" s="9">
        <v>2874.34</v>
      </c>
      <c r="C42" s="9">
        <v>2874.34</v>
      </c>
      <c r="D42" s="9">
        <v>2908.64</v>
      </c>
      <c r="E42" s="9">
        <v>2990.96</v>
      </c>
      <c r="F42" s="9">
        <v>2990.96</v>
      </c>
      <c r="G42" s="9">
        <v>2990.96</v>
      </c>
      <c r="H42" s="9">
        <v>2990.96</v>
      </c>
      <c r="I42" s="9">
        <v>3203.5</v>
      </c>
      <c r="J42" s="9">
        <v>3203.5</v>
      </c>
      <c r="K42" s="9">
        <v>2905.5</v>
      </c>
      <c r="L42" s="9">
        <v>2845.9</v>
      </c>
      <c r="M42" s="9">
        <f>2845.9+89.4</f>
        <v>2935.3</v>
      </c>
      <c r="N42" s="10">
        <f t="shared" si="2"/>
        <v>35714.86</v>
      </c>
      <c r="O42" s="12">
        <f>SUM(H42:M42)</f>
        <v>18084.66</v>
      </c>
    </row>
    <row r="43" spans="1:15" x14ac:dyDescent="0.25">
      <c r="A43" s="8" t="s">
        <v>22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0">
        <f t="shared" si="2"/>
        <v>0</v>
      </c>
    </row>
    <row r="44" spans="1:15" x14ac:dyDescent="0.25">
      <c r="A44" s="8" t="s">
        <v>23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>
        <f t="shared" si="2"/>
        <v>0</v>
      </c>
    </row>
    <row r="45" spans="1:15" x14ac:dyDescent="0.25">
      <c r="A45" s="8" t="s">
        <v>24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10">
        <f t="shared" si="2"/>
        <v>0</v>
      </c>
    </row>
    <row r="46" spans="1:15" x14ac:dyDescent="0.25">
      <c r="A46" s="5" t="s">
        <v>25</v>
      </c>
      <c r="B46" s="6">
        <v>14326.48</v>
      </c>
      <c r="C46" s="6">
        <v>14326.48</v>
      </c>
      <c r="D46" s="6">
        <v>14400.78</v>
      </c>
      <c r="E46" s="6">
        <v>14643.1</v>
      </c>
      <c r="F46" s="6">
        <v>14643.1</v>
      </c>
      <c r="G46" s="6">
        <v>14643.1</v>
      </c>
      <c r="H46" s="6">
        <v>14643.1</v>
      </c>
      <c r="I46" s="6">
        <v>14795.64</v>
      </c>
      <c r="J46" s="6">
        <v>14795.64</v>
      </c>
      <c r="K46" s="6">
        <v>14177.64</v>
      </c>
      <c r="L46" s="6">
        <v>14058.04</v>
      </c>
      <c r="M46" s="6">
        <v>14058.04</v>
      </c>
      <c r="N46" s="7">
        <f t="shared" si="2"/>
        <v>173511.14</v>
      </c>
    </row>
    <row r="47" spans="1:15" x14ac:dyDescent="0.25">
      <c r="A47" s="5" t="s">
        <v>26</v>
      </c>
      <c r="B47" s="6">
        <v>1920</v>
      </c>
      <c r="C47" s="6">
        <v>1920</v>
      </c>
      <c r="D47" s="6">
        <v>1920</v>
      </c>
      <c r="E47" s="6">
        <v>1980</v>
      </c>
      <c r="F47" s="6">
        <v>1980</v>
      </c>
      <c r="G47" s="6">
        <v>1980</v>
      </c>
      <c r="H47" s="6">
        <v>1980</v>
      </c>
      <c r="I47" s="6">
        <v>1980</v>
      </c>
      <c r="J47" s="6">
        <v>1980</v>
      </c>
      <c r="K47" s="6">
        <v>1920</v>
      </c>
      <c r="L47" s="6">
        <v>1860</v>
      </c>
      <c r="M47" s="6">
        <v>1860</v>
      </c>
      <c r="N47" s="7">
        <f t="shared" si="2"/>
        <v>23280</v>
      </c>
    </row>
    <row r="48" spans="1:15" x14ac:dyDescent="0.25">
      <c r="A48" s="5" t="s">
        <v>27</v>
      </c>
      <c r="B48" s="6">
        <v>3374.83</v>
      </c>
      <c r="C48" s="6">
        <v>3374.83</v>
      </c>
      <c r="D48" s="6">
        <v>3374.83</v>
      </c>
      <c r="E48" s="6">
        <v>3374.83</v>
      </c>
      <c r="F48" s="6">
        <v>3374.83</v>
      </c>
      <c r="G48" s="6">
        <v>3374.83</v>
      </c>
      <c r="H48" s="6">
        <v>3374.83</v>
      </c>
      <c r="I48" s="6">
        <v>3374.83</v>
      </c>
      <c r="J48" s="6">
        <v>3374.83</v>
      </c>
      <c r="K48" s="6">
        <v>3374.83</v>
      </c>
      <c r="L48" s="6">
        <v>3374.83</v>
      </c>
      <c r="M48" s="6">
        <v>3374.83</v>
      </c>
      <c r="N48" s="7">
        <f t="shared" si="2"/>
        <v>40497.960000000014</v>
      </c>
    </row>
    <row r="49" spans="1:15" x14ac:dyDescent="0.25">
      <c r="A49" s="5" t="s">
        <v>28</v>
      </c>
      <c r="B49" s="6">
        <v>22855.52</v>
      </c>
      <c r="C49" s="6">
        <v>22855.52</v>
      </c>
      <c r="D49" s="6">
        <v>22929.82</v>
      </c>
      <c r="E49" s="6">
        <v>23232.14</v>
      </c>
      <c r="F49" s="6">
        <v>1980</v>
      </c>
      <c r="G49" s="6">
        <v>13993.87</v>
      </c>
      <c r="H49" s="6">
        <v>23232.14</v>
      </c>
      <c r="I49" s="6">
        <v>23384.68</v>
      </c>
      <c r="J49" s="6">
        <v>12819.04</v>
      </c>
      <c r="K49" s="6">
        <v>22706.68</v>
      </c>
      <c r="L49" s="6">
        <v>22527.08</v>
      </c>
      <c r="M49" s="6">
        <v>22527.08</v>
      </c>
      <c r="N49" s="7">
        <f t="shared" si="2"/>
        <v>235043.57</v>
      </c>
    </row>
    <row r="51" spans="1:15" ht="15.75" x14ac:dyDescent="0.25">
      <c r="A51" s="2" t="s">
        <v>31</v>
      </c>
    </row>
    <row r="52" spans="1:15" x14ac:dyDescent="0.25">
      <c r="A52" s="3" t="s">
        <v>2</v>
      </c>
      <c r="B52" s="4" t="s">
        <v>3</v>
      </c>
      <c r="C52" s="4" t="s">
        <v>4</v>
      </c>
      <c r="D52" s="4" t="s">
        <v>5</v>
      </c>
      <c r="E52" s="4" t="s">
        <v>6</v>
      </c>
      <c r="F52" s="4" t="s">
        <v>7</v>
      </c>
      <c r="G52" s="4" t="s">
        <v>8</v>
      </c>
      <c r="H52" s="4" t="s">
        <v>9</v>
      </c>
      <c r="I52" s="4" t="s">
        <v>10</v>
      </c>
      <c r="J52" s="4" t="s">
        <v>11</v>
      </c>
      <c r="K52" s="4" t="s">
        <v>12</v>
      </c>
      <c r="L52" s="4" t="s">
        <v>13</v>
      </c>
      <c r="M52" s="4" t="s">
        <v>14</v>
      </c>
      <c r="N52" s="4" t="s">
        <v>15</v>
      </c>
    </row>
    <row r="53" spans="1:15" x14ac:dyDescent="0.25">
      <c r="A53" s="5" t="s">
        <v>16</v>
      </c>
      <c r="B53" s="6">
        <v>3521.18</v>
      </c>
      <c r="C53" s="6">
        <v>3521.18</v>
      </c>
      <c r="D53" s="6">
        <v>3521.18</v>
      </c>
      <c r="E53" s="6">
        <v>3521.18</v>
      </c>
      <c r="F53" s="6">
        <v>3521.18</v>
      </c>
      <c r="G53" s="6">
        <v>3521.18</v>
      </c>
      <c r="H53" s="6">
        <v>3521.18</v>
      </c>
      <c r="I53" s="6">
        <v>3521.18</v>
      </c>
      <c r="J53" s="6">
        <v>3521.18</v>
      </c>
      <c r="K53" s="6">
        <v>3521.18</v>
      </c>
      <c r="L53" s="6">
        <v>3521.18</v>
      </c>
      <c r="M53" s="6">
        <v>3521.18</v>
      </c>
      <c r="N53" s="7">
        <f t="shared" ref="N53:N65" si="3">SUM(B53:M53)</f>
        <v>42254.159999999996</v>
      </c>
    </row>
    <row r="54" spans="1:15" x14ac:dyDescent="0.25">
      <c r="A54" s="8" t="s">
        <v>17</v>
      </c>
      <c r="B54" s="9">
        <v>7042.35</v>
      </c>
      <c r="C54" s="9">
        <v>7042.35</v>
      </c>
      <c r="D54" s="9">
        <v>7042.35</v>
      </c>
      <c r="E54" s="9">
        <v>7042.35</v>
      </c>
      <c r="F54" s="9">
        <v>7042.35</v>
      </c>
      <c r="G54" s="9">
        <v>7042.35</v>
      </c>
      <c r="H54" s="9">
        <v>7042.35</v>
      </c>
      <c r="I54" s="9">
        <v>7042.35</v>
      </c>
      <c r="J54" s="9">
        <v>7042.35</v>
      </c>
      <c r="K54" s="9">
        <v>7042.35</v>
      </c>
      <c r="L54" s="9">
        <v>7042.35</v>
      </c>
      <c r="M54" s="9">
        <v>7042.35</v>
      </c>
      <c r="N54" s="10">
        <f t="shared" si="3"/>
        <v>84508.200000000012</v>
      </c>
    </row>
    <row r="55" spans="1:15" x14ac:dyDescent="0.25">
      <c r="A55" s="8" t="s">
        <v>18</v>
      </c>
      <c r="B55" s="9">
        <v>985.93</v>
      </c>
      <c r="C55" s="9">
        <v>985.93</v>
      </c>
      <c r="D55" s="9">
        <v>985.93</v>
      </c>
      <c r="E55" s="9">
        <v>985.93</v>
      </c>
      <c r="F55" s="9">
        <v>985.93</v>
      </c>
      <c r="G55" s="9">
        <v>985.93</v>
      </c>
      <c r="H55" s="9">
        <v>985.93</v>
      </c>
      <c r="I55" s="9">
        <v>985.93</v>
      </c>
      <c r="J55" s="9">
        <v>985.93</v>
      </c>
      <c r="K55" s="9">
        <v>985.93</v>
      </c>
      <c r="L55" s="9">
        <v>985.93</v>
      </c>
      <c r="M55" s="9">
        <v>985.93</v>
      </c>
      <c r="N55" s="10">
        <f t="shared" si="3"/>
        <v>11831.160000000002</v>
      </c>
    </row>
    <row r="56" spans="1:15" x14ac:dyDescent="0.25">
      <c r="A56" s="8" t="s">
        <v>19</v>
      </c>
      <c r="B56" s="9">
        <v>5480</v>
      </c>
      <c r="C56" s="9">
        <v>5560</v>
      </c>
      <c r="D56" s="9">
        <v>5560</v>
      </c>
      <c r="E56" s="9">
        <v>5480</v>
      </c>
      <c r="F56" s="9">
        <v>5160</v>
      </c>
      <c r="G56" s="9">
        <v>5040</v>
      </c>
      <c r="H56" s="9">
        <v>5040</v>
      </c>
      <c r="I56" s="9">
        <v>5120</v>
      </c>
      <c r="J56" s="9">
        <v>4720</v>
      </c>
      <c r="K56" s="9">
        <v>4920</v>
      </c>
      <c r="L56" s="9">
        <v>5000</v>
      </c>
      <c r="M56" s="9">
        <v>5000</v>
      </c>
      <c r="N56" s="10">
        <f t="shared" si="3"/>
        <v>62080</v>
      </c>
      <c r="O56" s="12">
        <f>SUM(H56:M56)</f>
        <v>29800</v>
      </c>
    </row>
    <row r="57" spans="1:15" x14ac:dyDescent="0.25">
      <c r="A57" s="8" t="s">
        <v>20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0">
        <f t="shared" si="3"/>
        <v>0</v>
      </c>
    </row>
    <row r="58" spans="1:15" x14ac:dyDescent="0.25">
      <c r="A58" s="8" t="s">
        <v>21</v>
      </c>
      <c r="B58" s="9">
        <v>3656.38</v>
      </c>
      <c r="C58" s="9">
        <v>3697.54</v>
      </c>
      <c r="D58" s="9">
        <v>3697.54</v>
      </c>
      <c r="E58" s="9">
        <v>3628.94</v>
      </c>
      <c r="F58" s="9">
        <v>3409.42</v>
      </c>
      <c r="G58" s="9">
        <v>3340.82</v>
      </c>
      <c r="H58" s="9">
        <v>3340.82</v>
      </c>
      <c r="I58" s="9">
        <v>3672.85</v>
      </c>
      <c r="J58" s="9">
        <v>3196.35</v>
      </c>
      <c r="K58" s="9">
        <v>3434.45</v>
      </c>
      <c r="L58" s="9">
        <v>3494.05</v>
      </c>
      <c r="M58" s="9">
        <v>3494.05</v>
      </c>
      <c r="N58" s="10">
        <f t="shared" si="3"/>
        <v>42063.21</v>
      </c>
      <c r="O58" s="12">
        <f>SUM(H58:M58)</f>
        <v>20632.57</v>
      </c>
    </row>
    <row r="59" spans="1:15" x14ac:dyDescent="0.25">
      <c r="A59" s="8" t="s">
        <v>22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0">
        <f t="shared" si="3"/>
        <v>0</v>
      </c>
    </row>
    <row r="60" spans="1:15" x14ac:dyDescent="0.25">
      <c r="A60" s="8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0">
        <f t="shared" si="3"/>
        <v>0</v>
      </c>
    </row>
    <row r="61" spans="1:15" x14ac:dyDescent="0.25">
      <c r="A61" s="8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>
        <f t="shared" si="3"/>
        <v>0</v>
      </c>
    </row>
    <row r="62" spans="1:15" x14ac:dyDescent="0.25">
      <c r="A62" s="5" t="s">
        <v>25</v>
      </c>
      <c r="B62" s="6">
        <v>17164.66</v>
      </c>
      <c r="C62" s="6">
        <v>17285.82</v>
      </c>
      <c r="D62" s="6">
        <v>17285.82</v>
      </c>
      <c r="E62" s="6">
        <v>17137.22</v>
      </c>
      <c r="F62" s="6">
        <v>16597.7</v>
      </c>
      <c r="G62" s="6">
        <v>16409.099999999999</v>
      </c>
      <c r="H62" s="6">
        <v>16409.099999999999</v>
      </c>
      <c r="I62" s="6">
        <v>16821.13</v>
      </c>
      <c r="J62" s="6">
        <v>15944.33</v>
      </c>
      <c r="K62" s="6">
        <v>11073.94</v>
      </c>
      <c r="L62" s="6">
        <v>16522.330000000002</v>
      </c>
      <c r="M62" s="6">
        <v>16522.330000000002</v>
      </c>
      <c r="N62" s="7">
        <f t="shared" si="3"/>
        <v>195173.47999999998</v>
      </c>
    </row>
    <row r="63" spans="1:15" x14ac:dyDescent="0.25">
      <c r="A63" s="5" t="s">
        <v>26</v>
      </c>
      <c r="B63" s="6">
        <v>2580</v>
      </c>
      <c r="C63" s="6">
        <v>2640</v>
      </c>
      <c r="D63" s="6">
        <v>2640</v>
      </c>
      <c r="E63" s="6">
        <v>2580</v>
      </c>
      <c r="F63" s="6">
        <v>2520</v>
      </c>
      <c r="G63" s="6">
        <v>2460</v>
      </c>
      <c r="H63" s="6">
        <v>2460</v>
      </c>
      <c r="I63" s="6">
        <v>2520</v>
      </c>
      <c r="J63" s="6">
        <v>2520</v>
      </c>
      <c r="K63" s="6">
        <v>2520</v>
      </c>
      <c r="L63" s="6">
        <v>2520</v>
      </c>
      <c r="M63" s="6">
        <v>2520</v>
      </c>
      <c r="N63" s="7">
        <f t="shared" si="3"/>
        <v>30480</v>
      </c>
    </row>
    <row r="64" spans="1:15" x14ac:dyDescent="0.25">
      <c r="A64" s="5" t="s">
        <v>27</v>
      </c>
      <c r="B64" s="6">
        <v>2112.71</v>
      </c>
      <c r="C64" s="6">
        <v>2112.71</v>
      </c>
      <c r="D64" s="6">
        <v>2112.71</v>
      </c>
      <c r="E64" s="6">
        <v>2112.71</v>
      </c>
      <c r="F64" s="6">
        <v>2112.71</v>
      </c>
      <c r="G64" s="6">
        <v>2112.71</v>
      </c>
      <c r="H64" s="6">
        <v>2112.71</v>
      </c>
      <c r="I64" s="6">
        <v>2112.71</v>
      </c>
      <c r="J64" s="6">
        <v>2112.71</v>
      </c>
      <c r="K64" s="6">
        <v>2112.71</v>
      </c>
      <c r="L64" s="6">
        <v>2112.71</v>
      </c>
      <c r="M64" s="6">
        <v>2112.71</v>
      </c>
      <c r="N64" s="7">
        <f t="shared" si="3"/>
        <v>25352.519999999993</v>
      </c>
    </row>
    <row r="65" spans="1:15" x14ac:dyDescent="0.25">
      <c r="A65" s="5" t="s">
        <v>28</v>
      </c>
      <c r="B65" s="6">
        <v>25378.55</v>
      </c>
      <c r="C65" s="6">
        <v>25559.71</v>
      </c>
      <c r="D65" s="6">
        <v>25559.71</v>
      </c>
      <c r="E65" s="6">
        <v>25351.11</v>
      </c>
      <c r="F65" s="6">
        <v>2520</v>
      </c>
      <c r="G65" s="6">
        <v>6071.87</v>
      </c>
      <c r="H65" s="6">
        <v>24502.99</v>
      </c>
      <c r="I65" s="6">
        <v>24975.02</v>
      </c>
      <c r="J65" s="6">
        <v>4632.71</v>
      </c>
      <c r="K65" s="6">
        <v>19226.830000000002</v>
      </c>
      <c r="L65" s="6">
        <v>24676.22</v>
      </c>
      <c r="M65" s="6">
        <v>24676.22</v>
      </c>
      <c r="N65" s="7">
        <f t="shared" si="3"/>
        <v>233130.94</v>
      </c>
    </row>
    <row r="67" spans="1:15" ht="15.75" x14ac:dyDescent="0.25">
      <c r="A67" s="2" t="s">
        <v>32</v>
      </c>
    </row>
    <row r="68" spans="1:15" x14ac:dyDescent="0.25">
      <c r="A68" s="3" t="s">
        <v>2</v>
      </c>
      <c r="B68" s="4" t="s">
        <v>3</v>
      </c>
      <c r="C68" s="4" t="s">
        <v>4</v>
      </c>
      <c r="D68" s="4" t="s">
        <v>5</v>
      </c>
      <c r="E68" s="4" t="s">
        <v>6</v>
      </c>
      <c r="F68" s="4" t="s">
        <v>7</v>
      </c>
      <c r="G68" s="4" t="s">
        <v>8</v>
      </c>
      <c r="H68" s="4" t="s">
        <v>9</v>
      </c>
      <c r="I68" s="4" t="s">
        <v>10</v>
      </c>
      <c r="J68" s="4" t="s">
        <v>11</v>
      </c>
      <c r="K68" s="4" t="s">
        <v>12</v>
      </c>
      <c r="L68" s="4" t="s">
        <v>13</v>
      </c>
      <c r="M68" s="4" t="s">
        <v>14</v>
      </c>
      <c r="N68" s="4" t="s">
        <v>15</v>
      </c>
    </row>
    <row r="69" spans="1:15" x14ac:dyDescent="0.25">
      <c r="A69" s="5" t="s">
        <v>16</v>
      </c>
      <c r="B69" s="6">
        <v>4173.25</v>
      </c>
      <c r="C69" s="6">
        <v>4173.25</v>
      </c>
      <c r="D69" s="6">
        <v>4173.25</v>
      </c>
      <c r="E69" s="6">
        <v>4173.25</v>
      </c>
      <c r="F69" s="6">
        <v>4173.25</v>
      </c>
      <c r="G69" s="6">
        <v>4173.25</v>
      </c>
      <c r="H69" s="6">
        <v>4173.25</v>
      </c>
      <c r="I69" s="6">
        <v>4173.25</v>
      </c>
      <c r="J69" s="6">
        <v>4173.25</v>
      </c>
      <c r="K69" s="6">
        <v>4173.25</v>
      </c>
      <c r="L69" s="6">
        <v>4173.25</v>
      </c>
      <c r="M69" s="6">
        <v>4173.25</v>
      </c>
      <c r="N69" s="7">
        <f t="shared" ref="N69:N81" si="4">SUM(B69:M69)</f>
        <v>50079</v>
      </c>
    </row>
    <row r="70" spans="1:15" x14ac:dyDescent="0.25">
      <c r="A70" s="8" t="s">
        <v>17</v>
      </c>
      <c r="B70" s="9">
        <v>8346.5</v>
      </c>
      <c r="C70" s="9">
        <v>8346.5</v>
      </c>
      <c r="D70" s="9">
        <v>8346.5</v>
      </c>
      <c r="E70" s="9">
        <v>8346.5</v>
      </c>
      <c r="F70" s="9">
        <v>8346.5</v>
      </c>
      <c r="G70" s="9">
        <v>8346.5</v>
      </c>
      <c r="H70" s="9">
        <v>8346.5</v>
      </c>
      <c r="I70" s="9">
        <v>8346.5</v>
      </c>
      <c r="J70" s="9">
        <v>8346.5</v>
      </c>
      <c r="K70" s="9">
        <v>8346.5</v>
      </c>
      <c r="L70" s="9">
        <v>8346.5</v>
      </c>
      <c r="M70" s="9">
        <v>8346.5</v>
      </c>
      <c r="N70" s="10">
        <f t="shared" si="4"/>
        <v>100158</v>
      </c>
    </row>
    <row r="71" spans="1:15" x14ac:dyDescent="0.25">
      <c r="A71" s="8" t="s">
        <v>18</v>
      </c>
      <c r="B71" s="9">
        <v>1168.51</v>
      </c>
      <c r="C71" s="9">
        <v>1168.51</v>
      </c>
      <c r="D71" s="9">
        <v>1168.51</v>
      </c>
      <c r="E71" s="9">
        <v>1168.51</v>
      </c>
      <c r="F71" s="9">
        <v>1168.51</v>
      </c>
      <c r="G71" s="9">
        <v>1168.51</v>
      </c>
      <c r="H71" s="9">
        <v>1168.51</v>
      </c>
      <c r="I71" s="9">
        <v>1168.51</v>
      </c>
      <c r="J71" s="9">
        <v>1168.51</v>
      </c>
      <c r="K71" s="9">
        <v>1168.51</v>
      </c>
      <c r="L71" s="9">
        <v>1168.51</v>
      </c>
      <c r="M71" s="9">
        <v>1168.51</v>
      </c>
      <c r="N71" s="10">
        <f t="shared" si="4"/>
        <v>14022.12</v>
      </c>
    </row>
    <row r="72" spans="1:15" x14ac:dyDescent="0.25">
      <c r="A72" s="8" t="s">
        <v>19</v>
      </c>
      <c r="B72" s="9">
        <v>9240</v>
      </c>
      <c r="C72" s="9">
        <v>9240</v>
      </c>
      <c r="D72" s="9">
        <v>9240</v>
      </c>
      <c r="E72" s="9">
        <v>9040</v>
      </c>
      <c r="F72" s="9">
        <v>8940</v>
      </c>
      <c r="G72" s="9">
        <v>8940</v>
      </c>
      <c r="H72" s="9">
        <v>8940</v>
      </c>
      <c r="I72" s="9">
        <v>8940</v>
      </c>
      <c r="J72" s="9">
        <v>8940</v>
      </c>
      <c r="K72" s="9">
        <v>9020</v>
      </c>
      <c r="L72" s="9">
        <v>9020</v>
      </c>
      <c r="M72" s="9">
        <v>8840</v>
      </c>
      <c r="N72" s="10">
        <f t="shared" si="4"/>
        <v>108340</v>
      </c>
      <c r="O72" s="12">
        <f>SUM(H72:M72)</f>
        <v>53700</v>
      </c>
    </row>
    <row r="73" spans="1:15" x14ac:dyDescent="0.25">
      <c r="A73" s="8" t="s">
        <v>20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0">
        <f t="shared" si="4"/>
        <v>0</v>
      </c>
    </row>
    <row r="74" spans="1:15" x14ac:dyDescent="0.25">
      <c r="A74" s="8" t="s">
        <v>21</v>
      </c>
      <c r="B74" s="9">
        <v>5769.26</v>
      </c>
      <c r="C74" s="9">
        <v>5769.26</v>
      </c>
      <c r="D74" s="9">
        <v>5769.26</v>
      </c>
      <c r="E74" s="9">
        <v>5645.78</v>
      </c>
      <c r="F74" s="9">
        <v>5590.9</v>
      </c>
      <c r="G74" s="9">
        <v>5590.9</v>
      </c>
      <c r="H74" s="9">
        <v>5590.9</v>
      </c>
      <c r="I74" s="9">
        <v>6071.75</v>
      </c>
      <c r="J74" s="9">
        <v>6071.75</v>
      </c>
      <c r="K74" s="9">
        <v>6116.45</v>
      </c>
      <c r="L74" s="9">
        <v>6116.45</v>
      </c>
      <c r="M74" s="9">
        <v>5989.8</v>
      </c>
      <c r="N74" s="10">
        <f t="shared" si="4"/>
        <v>70092.459999999992</v>
      </c>
      <c r="O74" s="12">
        <f>SUM(H74:M74)</f>
        <v>35957.100000000006</v>
      </c>
    </row>
    <row r="75" spans="1:15" x14ac:dyDescent="0.25">
      <c r="A75" s="8" t="s">
        <v>22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0">
        <f t="shared" si="4"/>
        <v>0</v>
      </c>
    </row>
    <row r="76" spans="1:15" x14ac:dyDescent="0.25">
      <c r="A76" s="8" t="s">
        <v>23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0">
        <f t="shared" si="4"/>
        <v>0</v>
      </c>
    </row>
    <row r="77" spans="1:15" x14ac:dyDescent="0.25">
      <c r="A77" s="8" t="s">
        <v>24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0">
        <f t="shared" si="4"/>
        <v>0</v>
      </c>
    </row>
    <row r="78" spans="1:15" x14ac:dyDescent="0.25">
      <c r="A78" s="5" t="s">
        <v>25</v>
      </c>
      <c r="B78" s="6">
        <v>25784.27</v>
      </c>
      <c r="C78" s="6">
        <v>25784.27</v>
      </c>
      <c r="D78" s="6">
        <v>25784.27</v>
      </c>
      <c r="E78" s="6">
        <v>25424.79</v>
      </c>
      <c r="F78" s="6">
        <v>25269.91</v>
      </c>
      <c r="G78" s="6">
        <v>25269.91</v>
      </c>
      <c r="H78" s="6">
        <v>25233.91</v>
      </c>
      <c r="I78" s="6">
        <v>25738.76</v>
      </c>
      <c r="J78" s="6">
        <v>25738.76</v>
      </c>
      <c r="K78" s="6">
        <v>19483.46</v>
      </c>
      <c r="L78" s="6">
        <v>25875.46</v>
      </c>
      <c r="M78" s="6">
        <v>25544.81</v>
      </c>
      <c r="N78" s="7">
        <f t="shared" si="4"/>
        <v>300932.58</v>
      </c>
    </row>
    <row r="79" spans="1:15" x14ac:dyDescent="0.25">
      <c r="A79" s="5" t="s">
        <v>26</v>
      </c>
      <c r="B79" s="6">
        <v>2220</v>
      </c>
      <c r="C79" s="6">
        <v>2220</v>
      </c>
      <c r="D79" s="6">
        <v>2220</v>
      </c>
      <c r="E79" s="6">
        <v>2220</v>
      </c>
      <c r="F79" s="6">
        <v>2160</v>
      </c>
      <c r="G79" s="6">
        <v>2160</v>
      </c>
      <c r="H79" s="6">
        <v>2160</v>
      </c>
      <c r="I79" s="6">
        <v>2160</v>
      </c>
      <c r="J79" s="6">
        <v>2160</v>
      </c>
      <c r="K79" s="6">
        <v>2220</v>
      </c>
      <c r="L79" s="6">
        <v>2220</v>
      </c>
      <c r="M79" s="6">
        <v>2220</v>
      </c>
      <c r="N79" s="7">
        <f t="shared" si="4"/>
        <v>26340</v>
      </c>
    </row>
    <row r="80" spans="1:15" x14ac:dyDescent="0.25">
      <c r="A80" s="5" t="s">
        <v>27</v>
      </c>
      <c r="B80" s="6">
        <v>5007.8999999999996</v>
      </c>
      <c r="C80" s="6">
        <v>5007.8999999999996</v>
      </c>
      <c r="D80" s="6">
        <v>5007.8999999999996</v>
      </c>
      <c r="E80" s="6">
        <v>5007.8999999999996</v>
      </c>
      <c r="F80" s="6">
        <v>5007.8999999999996</v>
      </c>
      <c r="G80" s="6">
        <v>5007.8999999999996</v>
      </c>
      <c r="H80" s="6">
        <v>5007.8999999999996</v>
      </c>
      <c r="I80" s="6">
        <v>5007.8999999999996</v>
      </c>
      <c r="J80" s="6">
        <v>5007.8999999999996</v>
      </c>
      <c r="K80" s="6">
        <v>5007.8999999999996</v>
      </c>
      <c r="L80" s="6">
        <v>5007.8999999999996</v>
      </c>
      <c r="M80" s="6">
        <v>5007.8999999999996</v>
      </c>
      <c r="N80" s="7">
        <f t="shared" si="4"/>
        <v>60094.80000000001</v>
      </c>
    </row>
    <row r="81" spans="1:14" x14ac:dyDescent="0.25">
      <c r="A81" s="5" t="s">
        <v>28</v>
      </c>
      <c r="B81" s="6">
        <v>34965.42</v>
      </c>
      <c r="C81" s="6">
        <v>34965.42</v>
      </c>
      <c r="D81" s="6">
        <v>34965.42</v>
      </c>
      <c r="E81" s="6">
        <v>34605.94</v>
      </c>
      <c r="F81" s="6">
        <v>2160</v>
      </c>
      <c r="G81" s="6">
        <v>2286.85</v>
      </c>
      <c r="H81" s="6">
        <v>34415.06</v>
      </c>
      <c r="I81" s="6">
        <v>34919.910000000003</v>
      </c>
      <c r="J81" s="6">
        <v>7167.9</v>
      </c>
      <c r="K81" s="6">
        <v>28663.96</v>
      </c>
      <c r="L81" s="6">
        <v>35056.61</v>
      </c>
      <c r="M81" s="6">
        <v>34725.96</v>
      </c>
      <c r="N81" s="7">
        <f t="shared" si="4"/>
        <v>318898.45</v>
      </c>
    </row>
    <row r="83" spans="1:14" ht="15.75" x14ac:dyDescent="0.25">
      <c r="A83" s="2" t="s">
        <v>33</v>
      </c>
    </row>
    <row r="84" spans="1:14" x14ac:dyDescent="0.25">
      <c r="A84" s="3" t="s">
        <v>2</v>
      </c>
      <c r="B84" s="4" t="s">
        <v>3</v>
      </c>
      <c r="C84" s="4" t="s">
        <v>4</v>
      </c>
      <c r="D84" s="4" t="s">
        <v>5</v>
      </c>
      <c r="E84" s="4" t="s">
        <v>6</v>
      </c>
      <c r="F84" s="4" t="s">
        <v>7</v>
      </c>
      <c r="G84" s="4" t="s">
        <v>8</v>
      </c>
      <c r="H84" s="4" t="s">
        <v>9</v>
      </c>
      <c r="I84" s="4" t="s">
        <v>10</v>
      </c>
      <c r="J84" s="4" t="s">
        <v>11</v>
      </c>
      <c r="K84" s="4" t="s">
        <v>12</v>
      </c>
      <c r="L84" s="4" t="s">
        <v>13</v>
      </c>
      <c r="M84" s="4" t="s">
        <v>14</v>
      </c>
      <c r="N84" s="4" t="s">
        <v>15</v>
      </c>
    </row>
    <row r="85" spans="1:14" x14ac:dyDescent="0.25">
      <c r="A85" s="5" t="s">
        <v>16</v>
      </c>
      <c r="B85" s="6"/>
      <c r="C85" s="6"/>
      <c r="D85" s="6">
        <v>-20.93</v>
      </c>
      <c r="E85" s="6">
        <v>41.84</v>
      </c>
      <c r="F85" s="6"/>
      <c r="G85" s="6">
        <v>41.84</v>
      </c>
      <c r="H85" s="6"/>
      <c r="I85" s="6"/>
      <c r="J85" s="6">
        <v>41.84</v>
      </c>
      <c r="K85" s="6">
        <v>41.84</v>
      </c>
      <c r="L85" s="6"/>
      <c r="M85" s="6">
        <v>41.84</v>
      </c>
      <c r="N85" s="7">
        <f t="shared" ref="N85:N97" si="5">SUM(B85:M85)</f>
        <v>188.27</v>
      </c>
    </row>
    <row r="86" spans="1:14" x14ac:dyDescent="0.25">
      <c r="A86" s="8" t="s">
        <v>17</v>
      </c>
      <c r="B86" s="9"/>
      <c r="C86" s="9"/>
      <c r="D86" s="9">
        <v>95.1</v>
      </c>
      <c r="E86" s="9">
        <v>95.1</v>
      </c>
      <c r="F86" s="9"/>
      <c r="G86" s="9">
        <v>95.1</v>
      </c>
      <c r="H86" s="9"/>
      <c r="I86" s="9"/>
      <c r="J86" s="9">
        <v>95.1</v>
      </c>
      <c r="K86" s="9">
        <v>95.1</v>
      </c>
      <c r="L86" s="9"/>
      <c r="M86" s="9">
        <v>95.1</v>
      </c>
      <c r="N86" s="10">
        <f t="shared" si="5"/>
        <v>570.6</v>
      </c>
    </row>
    <row r="87" spans="1:14" x14ac:dyDescent="0.25">
      <c r="A87" s="8" t="s">
        <v>18</v>
      </c>
      <c r="B87" s="9"/>
      <c r="C87" s="9"/>
      <c r="D87" s="9">
        <v>13.31</v>
      </c>
      <c r="E87" s="9">
        <v>13.31</v>
      </c>
      <c r="F87" s="9"/>
      <c r="G87" s="9">
        <v>13.31</v>
      </c>
      <c r="H87" s="9"/>
      <c r="I87" s="9"/>
      <c r="J87" s="9">
        <v>13.31</v>
      </c>
      <c r="K87" s="9">
        <v>13.31</v>
      </c>
      <c r="L87" s="9"/>
      <c r="M87" s="9">
        <v>13.31</v>
      </c>
      <c r="N87" s="10">
        <f t="shared" si="5"/>
        <v>79.86</v>
      </c>
    </row>
    <row r="88" spans="1:14" x14ac:dyDescent="0.25">
      <c r="A88" s="8" t="s">
        <v>19</v>
      </c>
      <c r="B88" s="9"/>
      <c r="C88" s="9"/>
      <c r="D88" s="9">
        <v>0</v>
      </c>
      <c r="E88" s="9">
        <v>0</v>
      </c>
      <c r="F88" s="9"/>
      <c r="G88" s="9">
        <v>0</v>
      </c>
      <c r="H88" s="9"/>
      <c r="I88" s="9"/>
      <c r="J88" s="9">
        <v>0</v>
      </c>
      <c r="K88" s="9">
        <v>0</v>
      </c>
      <c r="L88" s="9"/>
      <c r="M88" s="9">
        <v>0</v>
      </c>
      <c r="N88" s="10">
        <f t="shared" si="5"/>
        <v>0</v>
      </c>
    </row>
    <row r="89" spans="1:14" x14ac:dyDescent="0.25">
      <c r="A89" s="8" t="s">
        <v>20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10">
        <f t="shared" si="5"/>
        <v>0</v>
      </c>
    </row>
    <row r="90" spans="1:14" x14ac:dyDescent="0.25">
      <c r="A90" s="8" t="s">
        <v>21</v>
      </c>
      <c r="B90" s="9"/>
      <c r="C90" s="9"/>
      <c r="D90" s="9">
        <v>0</v>
      </c>
      <c r="E90" s="9">
        <v>0</v>
      </c>
      <c r="F90" s="9"/>
      <c r="G90" s="9">
        <v>0</v>
      </c>
      <c r="H90" s="9"/>
      <c r="I90" s="9"/>
      <c r="J90" s="9">
        <v>0</v>
      </c>
      <c r="K90" s="9">
        <v>0</v>
      </c>
      <c r="L90" s="9"/>
      <c r="M90" s="9">
        <v>0</v>
      </c>
      <c r="N90" s="10">
        <f t="shared" si="5"/>
        <v>0</v>
      </c>
    </row>
    <row r="91" spans="1:14" x14ac:dyDescent="0.25">
      <c r="A91" s="8" t="s">
        <v>22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10">
        <f t="shared" si="5"/>
        <v>0</v>
      </c>
    </row>
    <row r="92" spans="1:14" x14ac:dyDescent="0.25">
      <c r="A92" s="8" t="s">
        <v>23</v>
      </c>
      <c r="B92" s="9"/>
      <c r="C92" s="9"/>
      <c r="D92" s="9">
        <v>0</v>
      </c>
      <c r="E92" s="9">
        <v>0</v>
      </c>
      <c r="F92" s="9"/>
      <c r="G92" s="9">
        <v>0</v>
      </c>
      <c r="H92" s="9"/>
      <c r="I92" s="9"/>
      <c r="J92" s="9">
        <v>0</v>
      </c>
      <c r="K92" s="9">
        <v>0</v>
      </c>
      <c r="L92" s="9"/>
      <c r="M92" s="9">
        <v>0</v>
      </c>
      <c r="N92" s="10">
        <f t="shared" si="5"/>
        <v>0</v>
      </c>
    </row>
    <row r="93" spans="1:14" x14ac:dyDescent="0.25">
      <c r="A93" s="8" t="s">
        <v>24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10">
        <f t="shared" si="5"/>
        <v>0</v>
      </c>
    </row>
    <row r="94" spans="1:14" x14ac:dyDescent="0.25">
      <c r="A94" s="5" t="s">
        <v>25</v>
      </c>
      <c r="B94" s="6"/>
      <c r="C94" s="6"/>
      <c r="D94" s="6">
        <v>108.41</v>
      </c>
      <c r="E94" s="6">
        <v>108.41</v>
      </c>
      <c r="F94" s="6"/>
      <c r="G94" s="6">
        <v>108.41</v>
      </c>
      <c r="H94" s="6"/>
      <c r="I94" s="6"/>
      <c r="J94" s="6">
        <v>108.41</v>
      </c>
      <c r="K94" s="6">
        <v>108.41</v>
      </c>
      <c r="L94" s="6"/>
      <c r="M94" s="6">
        <v>108.41</v>
      </c>
      <c r="N94" s="7">
        <f t="shared" si="5"/>
        <v>650.45999999999992</v>
      </c>
    </row>
    <row r="95" spans="1:14" x14ac:dyDescent="0.25">
      <c r="A95" s="5" t="s">
        <v>26</v>
      </c>
      <c r="B95" s="6"/>
      <c r="C95" s="6"/>
      <c r="D95" s="6">
        <v>0</v>
      </c>
      <c r="E95" s="6">
        <v>0</v>
      </c>
      <c r="F95" s="6"/>
      <c r="G95" s="6">
        <v>0</v>
      </c>
      <c r="H95" s="6"/>
      <c r="I95" s="6"/>
      <c r="J95" s="6">
        <v>0</v>
      </c>
      <c r="K95" s="6">
        <v>0</v>
      </c>
      <c r="L95" s="6"/>
      <c r="M95" s="6">
        <v>0</v>
      </c>
      <c r="N95" s="7">
        <f t="shared" si="5"/>
        <v>0</v>
      </c>
    </row>
    <row r="96" spans="1:14" x14ac:dyDescent="0.25">
      <c r="A96" s="5" t="s">
        <v>27</v>
      </c>
      <c r="B96" s="6"/>
      <c r="C96" s="6"/>
      <c r="D96" s="6">
        <v>57.06</v>
      </c>
      <c r="E96" s="6">
        <v>57.06</v>
      </c>
      <c r="F96" s="6"/>
      <c r="G96" s="6">
        <v>57.06</v>
      </c>
      <c r="H96" s="6"/>
      <c r="I96" s="6"/>
      <c r="J96" s="6">
        <v>57.06</v>
      </c>
      <c r="K96" s="6">
        <v>57.06</v>
      </c>
      <c r="L96" s="6"/>
      <c r="M96" s="6">
        <v>57.06</v>
      </c>
      <c r="N96" s="7">
        <f t="shared" si="5"/>
        <v>342.36</v>
      </c>
    </row>
    <row r="97" spans="1:15" x14ac:dyDescent="0.25">
      <c r="A97" s="5" t="s">
        <v>28</v>
      </c>
      <c r="B97" s="6"/>
      <c r="C97" s="6"/>
      <c r="D97" s="6">
        <v>144.54</v>
      </c>
      <c r="E97" s="6">
        <v>207.31</v>
      </c>
      <c r="F97" s="6"/>
      <c r="G97" s="6">
        <v>207.31</v>
      </c>
      <c r="H97" s="6"/>
      <c r="I97" s="6"/>
      <c r="J97" s="6">
        <v>207.31</v>
      </c>
      <c r="K97" s="6">
        <v>207.31</v>
      </c>
      <c r="L97" s="6"/>
      <c r="M97" s="6">
        <v>207.31</v>
      </c>
      <c r="N97" s="7">
        <f t="shared" si="5"/>
        <v>1181.0899999999999</v>
      </c>
    </row>
    <row r="99" spans="1:15" ht="15.75" x14ac:dyDescent="0.25">
      <c r="A99" s="2" t="s">
        <v>34</v>
      </c>
    </row>
    <row r="100" spans="1:15" x14ac:dyDescent="0.25">
      <c r="A100" s="3" t="s">
        <v>2</v>
      </c>
      <c r="B100" s="4" t="s">
        <v>3</v>
      </c>
      <c r="C100" s="4" t="s">
        <v>4</v>
      </c>
      <c r="D100" s="4" t="s">
        <v>5</v>
      </c>
      <c r="E100" s="4" t="s">
        <v>6</v>
      </c>
      <c r="F100" s="4" t="s">
        <v>7</v>
      </c>
      <c r="G100" s="4" t="s">
        <v>8</v>
      </c>
      <c r="H100" s="4" t="s">
        <v>9</v>
      </c>
      <c r="I100" s="4" t="s">
        <v>10</v>
      </c>
      <c r="J100" s="4" t="s">
        <v>11</v>
      </c>
      <c r="K100" s="4" t="s">
        <v>12</v>
      </c>
      <c r="L100" s="4" t="s">
        <v>13</v>
      </c>
      <c r="M100" s="4" t="s">
        <v>14</v>
      </c>
      <c r="N100" s="4" t="s">
        <v>15</v>
      </c>
    </row>
    <row r="101" spans="1:15" x14ac:dyDescent="0.25">
      <c r="A101" s="5" t="s">
        <v>16</v>
      </c>
      <c r="B101" s="6">
        <v>269.35000000000002</v>
      </c>
      <c r="C101" s="6">
        <v>269.35000000000002</v>
      </c>
      <c r="D101" s="6">
        <v>269.35000000000002</v>
      </c>
      <c r="E101" s="6">
        <v>269.35000000000002</v>
      </c>
      <c r="F101" s="6">
        <v>269.35000000000002</v>
      </c>
      <c r="G101" s="6">
        <v>269.35000000000002</v>
      </c>
      <c r="H101" s="6">
        <v>269.35000000000002</v>
      </c>
      <c r="I101" s="6">
        <v>269.35000000000002</v>
      </c>
      <c r="J101" s="6">
        <v>269.35000000000002</v>
      </c>
      <c r="K101" s="6">
        <v>269.35000000000002</v>
      </c>
      <c r="L101" s="6">
        <v>269.35000000000002</v>
      </c>
      <c r="M101" s="6">
        <v>269.35000000000002</v>
      </c>
      <c r="N101" s="7">
        <f t="shared" ref="N101:N113" si="6">SUM(B101:M101)</f>
        <v>3232.1999999999994</v>
      </c>
    </row>
    <row r="102" spans="1:15" x14ac:dyDescent="0.25">
      <c r="A102" s="8" t="s">
        <v>17</v>
      </c>
      <c r="B102" s="9">
        <v>585.54999999999995</v>
      </c>
      <c r="C102" s="9">
        <v>585.54999999999995</v>
      </c>
      <c r="D102" s="9">
        <v>585.54999999999995</v>
      </c>
      <c r="E102" s="9">
        <v>585.54999999999995</v>
      </c>
      <c r="F102" s="9">
        <v>585.54999999999995</v>
      </c>
      <c r="G102" s="9">
        <v>585.54999999999995</v>
      </c>
      <c r="H102" s="9">
        <v>585.54999999999995</v>
      </c>
      <c r="I102" s="9">
        <v>585.54999999999995</v>
      </c>
      <c r="J102" s="9">
        <v>585.54999999999995</v>
      </c>
      <c r="K102" s="9">
        <v>585.54999999999995</v>
      </c>
      <c r="L102" s="9">
        <v>585.54999999999995</v>
      </c>
      <c r="M102" s="9">
        <v>585.54999999999995</v>
      </c>
      <c r="N102" s="10">
        <f t="shared" si="6"/>
        <v>7026.6000000000013</v>
      </c>
    </row>
    <row r="103" spans="1:15" x14ac:dyDescent="0.25">
      <c r="A103" s="8" t="s">
        <v>18</v>
      </c>
      <c r="B103" s="9">
        <v>81.98</v>
      </c>
      <c r="C103" s="9">
        <v>81.98</v>
      </c>
      <c r="D103" s="9">
        <v>81.98</v>
      </c>
      <c r="E103" s="9">
        <v>81.98</v>
      </c>
      <c r="F103" s="9">
        <v>81.98</v>
      </c>
      <c r="G103" s="9">
        <v>81.98</v>
      </c>
      <c r="H103" s="9">
        <v>81.98</v>
      </c>
      <c r="I103" s="9">
        <v>81.98</v>
      </c>
      <c r="J103" s="9">
        <v>81.98</v>
      </c>
      <c r="K103" s="9">
        <v>81.98</v>
      </c>
      <c r="L103" s="9">
        <v>81.98</v>
      </c>
      <c r="M103" s="9">
        <v>81.98</v>
      </c>
      <c r="N103" s="10">
        <f t="shared" si="6"/>
        <v>983.7600000000001</v>
      </c>
    </row>
    <row r="104" spans="1:15" x14ac:dyDescent="0.25">
      <c r="A104" s="8" t="s">
        <v>19</v>
      </c>
      <c r="B104" s="9">
        <v>60</v>
      </c>
      <c r="C104" s="9">
        <v>60</v>
      </c>
      <c r="D104" s="9">
        <v>60</v>
      </c>
      <c r="E104" s="9">
        <v>60</v>
      </c>
      <c r="F104" s="9">
        <v>60</v>
      </c>
      <c r="G104" s="9">
        <v>60</v>
      </c>
      <c r="H104" s="9">
        <v>60</v>
      </c>
      <c r="I104" s="9">
        <v>60</v>
      </c>
      <c r="J104" s="9">
        <v>60</v>
      </c>
      <c r="K104" s="9">
        <v>60</v>
      </c>
      <c r="L104" s="9">
        <v>60</v>
      </c>
      <c r="M104" s="9">
        <v>60</v>
      </c>
      <c r="N104" s="10">
        <f t="shared" si="6"/>
        <v>720</v>
      </c>
      <c r="O104" s="12">
        <f>SUM(H104:M104)</f>
        <v>360</v>
      </c>
    </row>
    <row r="105" spans="1:15" x14ac:dyDescent="0.25">
      <c r="A105" s="8" t="s">
        <v>20</v>
      </c>
      <c r="B105" s="9">
        <v>300</v>
      </c>
      <c r="C105" s="9">
        <v>300</v>
      </c>
      <c r="D105" s="9">
        <v>300</v>
      </c>
      <c r="E105" s="9">
        <v>300</v>
      </c>
      <c r="F105" s="9">
        <v>300</v>
      </c>
      <c r="G105" s="9">
        <v>300</v>
      </c>
      <c r="H105" s="9">
        <v>300</v>
      </c>
      <c r="I105" s="9">
        <v>300</v>
      </c>
      <c r="J105" s="9">
        <v>300</v>
      </c>
      <c r="K105" s="9">
        <v>300</v>
      </c>
      <c r="L105" s="9">
        <v>300</v>
      </c>
      <c r="M105" s="9">
        <v>300</v>
      </c>
      <c r="N105" s="10">
        <f t="shared" si="6"/>
        <v>3600</v>
      </c>
    </row>
    <row r="106" spans="1:15" x14ac:dyDescent="0.25">
      <c r="A106" s="8" t="s">
        <v>21</v>
      </c>
      <c r="B106" s="9">
        <v>41.16</v>
      </c>
      <c r="C106" s="9">
        <v>41.16</v>
      </c>
      <c r="D106" s="9">
        <v>41.16</v>
      </c>
      <c r="E106" s="9">
        <v>41.16</v>
      </c>
      <c r="F106" s="9">
        <v>41.16</v>
      </c>
      <c r="G106" s="9">
        <v>41.16</v>
      </c>
      <c r="H106" s="9">
        <v>41.16</v>
      </c>
      <c r="I106" s="9">
        <v>44.7</v>
      </c>
      <c r="J106" s="9">
        <v>44.7</v>
      </c>
      <c r="K106" s="9">
        <v>44.7</v>
      </c>
      <c r="L106" s="9">
        <v>44.7</v>
      </c>
      <c r="M106" s="9">
        <v>44.7</v>
      </c>
      <c r="N106" s="10">
        <f t="shared" si="6"/>
        <v>511.61999999999995</v>
      </c>
      <c r="O106" s="12">
        <f>SUM(H106:M106)</f>
        <v>264.65999999999997</v>
      </c>
    </row>
    <row r="107" spans="1:15" x14ac:dyDescent="0.25">
      <c r="A107" s="8" t="s">
        <v>22</v>
      </c>
      <c r="B107" s="9">
        <v>288.12</v>
      </c>
      <c r="C107" s="9">
        <v>288.12</v>
      </c>
      <c r="D107" s="9">
        <v>288.12</v>
      </c>
      <c r="E107" s="9">
        <v>288.12</v>
      </c>
      <c r="F107" s="9">
        <v>288.12</v>
      </c>
      <c r="G107" s="9">
        <v>288.12</v>
      </c>
      <c r="H107" s="9">
        <v>288.12</v>
      </c>
      <c r="I107" s="9">
        <v>312.89999999999998</v>
      </c>
      <c r="J107" s="9">
        <v>312.89999999999998</v>
      </c>
      <c r="K107" s="9">
        <v>312.89999999999998</v>
      </c>
      <c r="L107" s="9">
        <v>312.89999999999998</v>
      </c>
      <c r="M107" s="9">
        <v>312.89999999999998</v>
      </c>
      <c r="N107" s="10">
        <f t="shared" si="6"/>
        <v>3581.34</v>
      </c>
    </row>
    <row r="108" spans="1:15" x14ac:dyDescent="0.25">
      <c r="A108" s="8" t="s">
        <v>23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10">
        <f t="shared" si="6"/>
        <v>0</v>
      </c>
    </row>
    <row r="109" spans="1:15" x14ac:dyDescent="0.25">
      <c r="A109" s="8" t="s">
        <v>24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0">
        <f t="shared" si="6"/>
        <v>0</v>
      </c>
    </row>
    <row r="110" spans="1:15" x14ac:dyDescent="0.25">
      <c r="A110" s="5" t="s">
        <v>25</v>
      </c>
      <c r="B110" s="6">
        <v>1356.81</v>
      </c>
      <c r="C110" s="6">
        <v>1356.81</v>
      </c>
      <c r="D110" s="6">
        <v>1356.81</v>
      </c>
      <c r="E110" s="6">
        <v>1356.81</v>
      </c>
      <c r="F110" s="6">
        <v>1356.81</v>
      </c>
      <c r="G110" s="6">
        <v>1356.81</v>
      </c>
      <c r="H110" s="6">
        <v>1356.81</v>
      </c>
      <c r="I110" s="6">
        <v>1385.13</v>
      </c>
      <c r="J110" s="6">
        <v>1385.13</v>
      </c>
      <c r="K110" s="6">
        <v>1385.13</v>
      </c>
      <c r="L110" s="6">
        <v>1385.13</v>
      </c>
      <c r="M110" s="6">
        <v>1385.13</v>
      </c>
      <c r="N110" s="7">
        <f t="shared" si="6"/>
        <v>16423.320000000003</v>
      </c>
    </row>
    <row r="111" spans="1:15" x14ac:dyDescent="0.25">
      <c r="A111" s="5" t="s">
        <v>26</v>
      </c>
      <c r="B111" s="6">
        <v>120</v>
      </c>
      <c r="C111" s="6">
        <v>120</v>
      </c>
      <c r="D111" s="6">
        <v>120</v>
      </c>
      <c r="E111" s="6">
        <v>120</v>
      </c>
      <c r="F111" s="6">
        <v>120</v>
      </c>
      <c r="G111" s="6">
        <v>120</v>
      </c>
      <c r="H111" s="6">
        <v>120</v>
      </c>
      <c r="I111" s="6">
        <v>120</v>
      </c>
      <c r="J111" s="6">
        <v>120</v>
      </c>
      <c r="K111" s="6">
        <v>120</v>
      </c>
      <c r="L111" s="6">
        <v>120</v>
      </c>
      <c r="M111" s="6">
        <v>120</v>
      </c>
      <c r="N111" s="7">
        <f t="shared" si="6"/>
        <v>1440</v>
      </c>
    </row>
    <row r="112" spans="1:15" x14ac:dyDescent="0.25">
      <c r="A112" s="5" t="s">
        <v>27</v>
      </c>
      <c r="B112" s="6">
        <v>234.22</v>
      </c>
      <c r="C112" s="6">
        <v>234.22</v>
      </c>
      <c r="D112" s="6">
        <v>234.22</v>
      </c>
      <c r="E112" s="6">
        <v>234.22</v>
      </c>
      <c r="F112" s="6">
        <v>234.22</v>
      </c>
      <c r="G112" s="6">
        <v>234.22</v>
      </c>
      <c r="H112" s="6">
        <v>234.22</v>
      </c>
      <c r="I112" s="6">
        <v>234.22</v>
      </c>
      <c r="J112" s="6">
        <v>234.22</v>
      </c>
      <c r="K112" s="6">
        <v>234.22</v>
      </c>
      <c r="L112" s="6">
        <v>234.22</v>
      </c>
      <c r="M112" s="6">
        <v>234.22</v>
      </c>
      <c r="N112" s="7">
        <f t="shared" si="6"/>
        <v>2810.6399999999994</v>
      </c>
    </row>
    <row r="113" spans="1:14" x14ac:dyDescent="0.25">
      <c r="A113" s="5" t="s">
        <v>28</v>
      </c>
      <c r="B113" s="6">
        <v>1980.38</v>
      </c>
      <c r="C113" s="6">
        <v>1980.38</v>
      </c>
      <c r="D113" s="6">
        <v>1980.38</v>
      </c>
      <c r="E113" s="6">
        <v>1980.38</v>
      </c>
      <c r="F113" s="6">
        <v>1502.32</v>
      </c>
      <c r="G113" s="6">
        <v>1980.38</v>
      </c>
      <c r="H113" s="6">
        <v>1980.38</v>
      </c>
      <c r="I113" s="6">
        <v>2008.7</v>
      </c>
      <c r="J113" s="6">
        <v>1766.05</v>
      </c>
      <c r="K113" s="6">
        <v>2008.7</v>
      </c>
      <c r="L113" s="6">
        <v>2008.7</v>
      </c>
      <c r="M113" s="6">
        <v>2008.7</v>
      </c>
      <c r="N113" s="7">
        <f t="shared" si="6"/>
        <v>23185.450000000004</v>
      </c>
    </row>
    <row r="115" spans="1:14" ht="15.75" x14ac:dyDescent="0.25">
      <c r="A115" s="2" t="s">
        <v>35</v>
      </c>
    </row>
    <row r="116" spans="1:14" x14ac:dyDescent="0.25">
      <c r="A116" s="3" t="s">
        <v>2</v>
      </c>
      <c r="B116" s="4" t="s">
        <v>3</v>
      </c>
      <c r="C116" s="4" t="s">
        <v>4</v>
      </c>
      <c r="D116" s="4" t="s">
        <v>5</v>
      </c>
      <c r="E116" s="4" t="s">
        <v>6</v>
      </c>
      <c r="F116" s="4" t="s">
        <v>7</v>
      </c>
      <c r="G116" s="4" t="s">
        <v>8</v>
      </c>
      <c r="H116" s="4" t="s">
        <v>9</v>
      </c>
      <c r="I116" s="4" t="s">
        <v>10</v>
      </c>
      <c r="J116" s="4" t="s">
        <v>11</v>
      </c>
      <c r="K116" s="4" t="s">
        <v>12</v>
      </c>
      <c r="L116" s="4" t="s">
        <v>13</v>
      </c>
      <c r="M116" s="4" t="s">
        <v>14</v>
      </c>
      <c r="N116" s="4" t="s">
        <v>15</v>
      </c>
    </row>
    <row r="117" spans="1:14" x14ac:dyDescent="0.25">
      <c r="A117" s="5" t="s">
        <v>16</v>
      </c>
      <c r="B117" s="6">
        <v>481.5</v>
      </c>
      <c r="C117" s="6">
        <v>481.5</v>
      </c>
      <c r="D117" s="6">
        <v>481.5</v>
      </c>
      <c r="E117" s="6">
        <v>481.5</v>
      </c>
      <c r="F117" s="6">
        <v>481.5</v>
      </c>
      <c r="G117" s="6">
        <v>481.5</v>
      </c>
      <c r="H117" s="6">
        <v>481.5</v>
      </c>
      <c r="I117" s="6">
        <v>481.5</v>
      </c>
      <c r="J117" s="6">
        <v>481.5</v>
      </c>
      <c r="K117" s="6">
        <v>481.5</v>
      </c>
      <c r="L117" s="6">
        <v>481.5</v>
      </c>
      <c r="M117" s="6">
        <v>481.5</v>
      </c>
      <c r="N117" s="7">
        <f t="shared" ref="N117:N129" si="7">SUM(B117:M117)</f>
        <v>5778</v>
      </c>
    </row>
    <row r="118" spans="1:14" x14ac:dyDescent="0.25">
      <c r="A118" s="8" t="s">
        <v>17</v>
      </c>
      <c r="B118" s="9">
        <v>935.64</v>
      </c>
      <c r="C118" s="9">
        <v>935.64</v>
      </c>
      <c r="D118" s="9">
        <v>935.64</v>
      </c>
      <c r="E118" s="9">
        <v>935.64</v>
      </c>
      <c r="F118" s="9">
        <v>935.64</v>
      </c>
      <c r="G118" s="9">
        <v>935.64</v>
      </c>
      <c r="H118" s="9">
        <v>935.64</v>
      </c>
      <c r="I118" s="9">
        <v>935.64</v>
      </c>
      <c r="J118" s="9">
        <v>935.64</v>
      </c>
      <c r="K118" s="9">
        <v>935.64</v>
      </c>
      <c r="L118" s="9">
        <v>935.64</v>
      </c>
      <c r="M118" s="9">
        <v>935.64</v>
      </c>
      <c r="N118" s="10">
        <f t="shared" si="7"/>
        <v>11227.679999999998</v>
      </c>
    </row>
    <row r="119" spans="1:14" x14ac:dyDescent="0.25">
      <c r="A119" s="8" t="s">
        <v>18</v>
      </c>
      <c r="B119" s="9">
        <v>109.16</v>
      </c>
      <c r="C119" s="9">
        <v>109.16</v>
      </c>
      <c r="D119" s="9">
        <v>109.16</v>
      </c>
      <c r="E119" s="9">
        <v>109.16</v>
      </c>
      <c r="F119" s="9">
        <v>109.16</v>
      </c>
      <c r="G119" s="9">
        <v>109.16</v>
      </c>
      <c r="H119" s="9">
        <v>109.16</v>
      </c>
      <c r="I119" s="9">
        <v>109.16</v>
      </c>
      <c r="J119" s="9">
        <v>109.16</v>
      </c>
      <c r="K119" s="9">
        <v>109.16</v>
      </c>
      <c r="L119" s="9">
        <v>109.16</v>
      </c>
      <c r="M119" s="9">
        <v>109.16</v>
      </c>
      <c r="N119" s="10">
        <f t="shared" si="7"/>
        <v>1309.92</v>
      </c>
    </row>
    <row r="120" spans="1:14" x14ac:dyDescent="0.25">
      <c r="A120" s="8" t="s">
        <v>19</v>
      </c>
      <c r="B120" s="9">
        <v>400</v>
      </c>
      <c r="C120" s="9">
        <v>400</v>
      </c>
      <c r="D120" s="9">
        <v>400</v>
      </c>
      <c r="E120" s="9">
        <v>400</v>
      </c>
      <c r="F120" s="9">
        <v>400</v>
      </c>
      <c r="G120" s="9">
        <v>400</v>
      </c>
      <c r="H120" s="9">
        <v>400</v>
      </c>
      <c r="I120" s="9">
        <v>400</v>
      </c>
      <c r="J120" s="9">
        <v>400</v>
      </c>
      <c r="K120" s="9">
        <v>400</v>
      </c>
      <c r="L120" s="9">
        <v>400</v>
      </c>
      <c r="M120" s="9">
        <v>400</v>
      </c>
      <c r="N120" s="10">
        <f t="shared" si="7"/>
        <v>4800</v>
      </c>
    </row>
    <row r="121" spans="1:14" x14ac:dyDescent="0.25">
      <c r="A121" s="8" t="s">
        <v>20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10">
        <f t="shared" si="7"/>
        <v>0</v>
      </c>
    </row>
    <row r="122" spans="1:14" x14ac:dyDescent="0.25">
      <c r="A122" s="8" t="s">
        <v>21</v>
      </c>
      <c r="B122" s="9">
        <v>343</v>
      </c>
      <c r="C122" s="9">
        <v>343</v>
      </c>
      <c r="D122" s="9">
        <v>343</v>
      </c>
      <c r="E122" s="9">
        <v>343</v>
      </c>
      <c r="F122" s="9">
        <v>343</v>
      </c>
      <c r="G122" s="9">
        <v>343</v>
      </c>
      <c r="H122" s="9">
        <v>343</v>
      </c>
      <c r="I122" s="9">
        <v>372.5</v>
      </c>
      <c r="J122" s="9">
        <v>372.5</v>
      </c>
      <c r="K122" s="9">
        <v>372.5</v>
      </c>
      <c r="L122" s="9">
        <v>372.5</v>
      </c>
      <c r="M122" s="9">
        <v>372.5</v>
      </c>
      <c r="N122" s="10">
        <f t="shared" si="7"/>
        <v>4263.5</v>
      </c>
    </row>
    <row r="123" spans="1:14" x14ac:dyDescent="0.25">
      <c r="A123" s="8" t="s">
        <v>22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10">
        <f t="shared" si="7"/>
        <v>0</v>
      </c>
    </row>
    <row r="124" spans="1:14" x14ac:dyDescent="0.25">
      <c r="A124" s="8" t="s">
        <v>23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10">
        <f t="shared" si="7"/>
        <v>0</v>
      </c>
    </row>
    <row r="125" spans="1:14" x14ac:dyDescent="0.25">
      <c r="A125" s="8" t="s">
        <v>24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10">
        <f t="shared" si="7"/>
        <v>0</v>
      </c>
    </row>
    <row r="126" spans="1:14" x14ac:dyDescent="0.25">
      <c r="A126" s="5" t="s">
        <v>25</v>
      </c>
      <c r="B126" s="6">
        <v>1787.8</v>
      </c>
      <c r="C126" s="6">
        <v>1787.8</v>
      </c>
      <c r="D126" s="6">
        <v>1787.8</v>
      </c>
      <c r="E126" s="6">
        <v>1787.8</v>
      </c>
      <c r="F126" s="6">
        <v>1787.8</v>
      </c>
      <c r="G126" s="6">
        <v>1787.8</v>
      </c>
      <c r="H126" s="6">
        <v>1787.8</v>
      </c>
      <c r="I126" s="6">
        <v>1817.3</v>
      </c>
      <c r="J126" s="6">
        <v>1817.3</v>
      </c>
      <c r="K126" s="6">
        <v>1817.3</v>
      </c>
      <c r="L126" s="6">
        <v>1817.3</v>
      </c>
      <c r="M126" s="6">
        <v>1817.3</v>
      </c>
      <c r="N126" s="7">
        <f t="shared" si="7"/>
        <v>21601.099999999995</v>
      </c>
    </row>
    <row r="127" spans="1:14" x14ac:dyDescent="0.25">
      <c r="A127" s="5" t="s">
        <v>26</v>
      </c>
      <c r="B127" s="6">
        <v>240</v>
      </c>
      <c r="C127" s="6">
        <v>240</v>
      </c>
      <c r="D127" s="6">
        <v>240</v>
      </c>
      <c r="E127" s="6">
        <v>240</v>
      </c>
      <c r="F127" s="6">
        <v>240</v>
      </c>
      <c r="G127" s="6">
        <v>240</v>
      </c>
      <c r="H127" s="6">
        <v>240</v>
      </c>
      <c r="I127" s="6">
        <v>240</v>
      </c>
      <c r="J127" s="6">
        <v>240</v>
      </c>
      <c r="K127" s="6">
        <v>240</v>
      </c>
      <c r="L127" s="6">
        <v>240</v>
      </c>
      <c r="M127" s="6">
        <v>240</v>
      </c>
      <c r="N127" s="7">
        <f t="shared" si="7"/>
        <v>2880</v>
      </c>
    </row>
    <row r="128" spans="1:14" x14ac:dyDescent="0.25">
      <c r="A128" s="5" t="s">
        <v>27</v>
      </c>
      <c r="B128" s="6">
        <v>1251.9000000000001</v>
      </c>
      <c r="C128" s="6">
        <v>1251.9000000000001</v>
      </c>
      <c r="D128" s="6">
        <v>1251.9000000000001</v>
      </c>
      <c r="E128" s="6">
        <v>1251.9000000000001</v>
      </c>
      <c r="F128" s="6">
        <v>1251.9000000000001</v>
      </c>
      <c r="G128" s="6">
        <v>1251.9000000000001</v>
      </c>
      <c r="H128" s="6">
        <v>1251.9000000000001</v>
      </c>
      <c r="I128" s="6">
        <v>1251.9000000000001</v>
      </c>
      <c r="J128" s="6">
        <v>1251.9000000000001</v>
      </c>
      <c r="K128" s="6">
        <v>1251.9000000000001</v>
      </c>
      <c r="L128" s="6">
        <v>1251.9000000000001</v>
      </c>
      <c r="M128" s="6">
        <v>1251.9000000000001</v>
      </c>
      <c r="N128" s="7">
        <f t="shared" si="7"/>
        <v>15022.799999999997</v>
      </c>
    </row>
    <row r="129" spans="1:16" x14ac:dyDescent="0.25">
      <c r="A129" s="5" t="s">
        <v>28</v>
      </c>
      <c r="B129" s="6">
        <v>3761.2</v>
      </c>
      <c r="C129" s="6">
        <v>3761.2</v>
      </c>
      <c r="D129" s="6">
        <v>3761.2</v>
      </c>
      <c r="E129" s="6">
        <v>3761.2</v>
      </c>
      <c r="F129" s="6">
        <v>240</v>
      </c>
      <c r="G129" s="6">
        <v>1683.2</v>
      </c>
      <c r="H129" s="6">
        <v>3761.2</v>
      </c>
      <c r="I129" s="6">
        <v>3790.7</v>
      </c>
      <c r="J129" s="6">
        <v>3790.7</v>
      </c>
      <c r="K129" s="6">
        <v>3790.7</v>
      </c>
      <c r="L129" s="6">
        <v>3790.7</v>
      </c>
      <c r="M129" s="6">
        <v>3790.7</v>
      </c>
      <c r="N129" s="7">
        <f t="shared" si="7"/>
        <v>39682.699999999997</v>
      </c>
    </row>
    <row r="131" spans="1:16" ht="15.75" x14ac:dyDescent="0.25">
      <c r="A131" s="2" t="s">
        <v>36</v>
      </c>
    </row>
    <row r="132" spans="1:16" x14ac:dyDescent="0.25">
      <c r="A132" s="3" t="s">
        <v>2</v>
      </c>
      <c r="B132" s="4" t="s">
        <v>3</v>
      </c>
      <c r="C132" s="4" t="s">
        <v>4</v>
      </c>
      <c r="D132" s="4" t="s">
        <v>5</v>
      </c>
      <c r="E132" s="4" t="s">
        <v>6</v>
      </c>
      <c r="F132" s="4" t="s">
        <v>7</v>
      </c>
      <c r="G132" s="4" t="s">
        <v>8</v>
      </c>
      <c r="H132" s="4" t="s">
        <v>9</v>
      </c>
      <c r="I132" s="4" t="s">
        <v>10</v>
      </c>
      <c r="J132" s="4" t="s">
        <v>11</v>
      </c>
      <c r="K132" s="4" t="s">
        <v>12</v>
      </c>
      <c r="L132" s="4" t="s">
        <v>13</v>
      </c>
      <c r="M132" s="4" t="s">
        <v>14</v>
      </c>
      <c r="N132" s="4" t="s">
        <v>15</v>
      </c>
    </row>
    <row r="133" spans="1:16" x14ac:dyDescent="0.25">
      <c r="A133" s="5" t="s">
        <v>16</v>
      </c>
      <c r="B133" s="6">
        <v>3385.2</v>
      </c>
      <c r="C133" s="6">
        <v>3385.2</v>
      </c>
      <c r="D133" s="6">
        <v>3385.2</v>
      </c>
      <c r="E133" s="6">
        <v>3385.2</v>
      </c>
      <c r="F133" s="6">
        <v>3385.2</v>
      </c>
      <c r="G133" s="6">
        <v>3385.2</v>
      </c>
      <c r="H133" s="6">
        <v>3385.2</v>
      </c>
      <c r="I133" s="6">
        <v>3385.2</v>
      </c>
      <c r="J133" s="6">
        <v>3385.2</v>
      </c>
      <c r="K133" s="6">
        <v>3385.2</v>
      </c>
      <c r="L133" s="6">
        <v>3385.2</v>
      </c>
      <c r="M133" s="6">
        <v>3385.2</v>
      </c>
      <c r="N133" s="7">
        <f t="shared" ref="N133:N145" si="8">SUM(B133:M133)</f>
        <v>40622.399999999994</v>
      </c>
    </row>
    <row r="134" spans="1:16" x14ac:dyDescent="0.25">
      <c r="A134" s="8" t="s">
        <v>17</v>
      </c>
      <c r="B134" s="9">
        <v>7108.92</v>
      </c>
      <c r="C134" s="9">
        <v>7108.92</v>
      </c>
      <c r="D134" s="9">
        <v>7108.92</v>
      </c>
      <c r="E134" s="9">
        <v>7108.92</v>
      </c>
      <c r="F134" s="9">
        <v>7108.92</v>
      </c>
      <c r="G134" s="9">
        <v>7108.92</v>
      </c>
      <c r="H134" s="9">
        <v>7108.92</v>
      </c>
      <c r="I134" s="9">
        <v>7108.92</v>
      </c>
      <c r="J134" s="9">
        <v>7108.92</v>
      </c>
      <c r="K134" s="9">
        <v>7108.92</v>
      </c>
      <c r="L134" s="9">
        <v>7108.92</v>
      </c>
      <c r="M134" s="9">
        <v>7108.92</v>
      </c>
      <c r="N134" s="10">
        <f t="shared" si="8"/>
        <v>85307.04</v>
      </c>
    </row>
    <row r="135" spans="1:16" x14ac:dyDescent="0.25">
      <c r="A135" s="8" t="s">
        <v>18</v>
      </c>
      <c r="B135" s="9">
        <v>846.3</v>
      </c>
      <c r="C135" s="9">
        <v>846.3</v>
      </c>
      <c r="D135" s="9">
        <v>846.3</v>
      </c>
      <c r="E135" s="9">
        <v>846.3</v>
      </c>
      <c r="F135" s="9">
        <v>846.3</v>
      </c>
      <c r="G135" s="9">
        <v>846.3</v>
      </c>
      <c r="H135" s="9">
        <v>846.3</v>
      </c>
      <c r="I135" s="9">
        <v>846.3</v>
      </c>
      <c r="J135" s="9">
        <v>846.3</v>
      </c>
      <c r="K135" s="9">
        <v>846.3</v>
      </c>
      <c r="L135" s="9">
        <v>846.3</v>
      </c>
      <c r="M135" s="9">
        <v>846.3</v>
      </c>
      <c r="N135" s="10">
        <f t="shared" si="8"/>
        <v>10155.599999999999</v>
      </c>
    </row>
    <row r="136" spans="1:16" x14ac:dyDescent="0.25">
      <c r="A136" s="8" t="s">
        <v>19</v>
      </c>
      <c r="B136" s="9">
        <v>8592</v>
      </c>
      <c r="C136" s="9">
        <v>8664</v>
      </c>
      <c r="D136" s="9">
        <v>8568</v>
      </c>
      <c r="E136" s="9">
        <v>9096</v>
      </c>
      <c r="F136" s="9">
        <v>8904</v>
      </c>
      <c r="G136" s="9">
        <v>8808</v>
      </c>
      <c r="H136" s="9">
        <v>9192</v>
      </c>
      <c r="I136" s="9">
        <v>9192</v>
      </c>
      <c r="J136" s="9">
        <v>9048</v>
      </c>
      <c r="K136" s="14">
        <v>9048</v>
      </c>
      <c r="L136" s="9">
        <v>8808</v>
      </c>
      <c r="M136" s="9">
        <v>8640</v>
      </c>
      <c r="N136" s="10">
        <f t="shared" si="8"/>
        <v>106560</v>
      </c>
      <c r="O136" s="12">
        <f>SUM(H136:M136)</f>
        <v>53928</v>
      </c>
      <c r="P136" t="s">
        <v>63</v>
      </c>
    </row>
    <row r="137" spans="1:16" x14ac:dyDescent="0.25">
      <c r="A137" s="8" t="s">
        <v>20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10">
        <f t="shared" si="8"/>
        <v>0</v>
      </c>
    </row>
    <row r="138" spans="1:16" x14ac:dyDescent="0.25">
      <c r="A138" s="8" t="s">
        <v>21</v>
      </c>
      <c r="B138" s="9">
        <v>5014.66</v>
      </c>
      <c r="C138" s="9">
        <v>5055.82</v>
      </c>
      <c r="D138" s="9">
        <v>4966.6400000000003</v>
      </c>
      <c r="E138" s="9">
        <v>5405.68</v>
      </c>
      <c r="F138" s="9">
        <v>5227.32</v>
      </c>
      <c r="G138" s="9">
        <v>5165.58</v>
      </c>
      <c r="H138" s="9">
        <v>5330.22</v>
      </c>
      <c r="I138" s="9">
        <v>5788.65</v>
      </c>
      <c r="J138" s="9">
        <v>5699.25</v>
      </c>
      <c r="K138" s="9">
        <v>5699.25</v>
      </c>
      <c r="L138" s="9">
        <v>5580.05</v>
      </c>
      <c r="M138" s="9">
        <v>5468.3</v>
      </c>
      <c r="N138" s="10">
        <f t="shared" si="8"/>
        <v>64401.420000000006</v>
      </c>
      <c r="O138" s="12">
        <f>SUM(H138:M138)</f>
        <v>33565.72</v>
      </c>
    </row>
    <row r="139" spans="1:16" x14ac:dyDescent="0.25">
      <c r="A139" s="8" t="s">
        <v>22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10">
        <f t="shared" si="8"/>
        <v>0</v>
      </c>
    </row>
    <row r="140" spans="1:16" x14ac:dyDescent="0.25">
      <c r="A140" s="8" t="s">
        <v>23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0">
        <f t="shared" si="8"/>
        <v>0</v>
      </c>
    </row>
    <row r="141" spans="1:16" x14ac:dyDescent="0.25">
      <c r="A141" s="8" t="s">
        <v>24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0">
        <f t="shared" si="8"/>
        <v>0</v>
      </c>
    </row>
    <row r="142" spans="1:16" x14ac:dyDescent="0.25">
      <c r="A142" s="5" t="s">
        <v>25</v>
      </c>
      <c r="B142" s="6">
        <v>21561.88</v>
      </c>
      <c r="C142" s="6">
        <v>21675.040000000001</v>
      </c>
      <c r="D142" s="6">
        <v>21489.86</v>
      </c>
      <c r="E142" s="6">
        <v>22456.9</v>
      </c>
      <c r="F142" s="6">
        <v>22086.54</v>
      </c>
      <c r="G142" s="6">
        <v>21928.799999999999</v>
      </c>
      <c r="H142" s="6">
        <v>22477.439999999999</v>
      </c>
      <c r="I142" s="6">
        <v>22935.87</v>
      </c>
      <c r="J142" s="6">
        <v>22702.47</v>
      </c>
      <c r="K142" s="6">
        <v>19766.400000000001</v>
      </c>
      <c r="L142" s="6">
        <v>22343.27</v>
      </c>
      <c r="M142" s="6">
        <v>22063.52</v>
      </c>
      <c r="N142" s="7">
        <f t="shared" si="8"/>
        <v>263487.99</v>
      </c>
    </row>
    <row r="143" spans="1:16" x14ac:dyDescent="0.25">
      <c r="A143" s="5" t="s">
        <v>26</v>
      </c>
      <c r="B143" s="6">
        <v>2340</v>
      </c>
      <c r="C143" s="6">
        <v>2340</v>
      </c>
      <c r="D143" s="6">
        <v>2340</v>
      </c>
      <c r="E143" s="6">
        <v>2340</v>
      </c>
      <c r="F143" s="6">
        <v>2340</v>
      </c>
      <c r="G143" s="6">
        <v>2340</v>
      </c>
      <c r="H143" s="6">
        <v>2400</v>
      </c>
      <c r="I143" s="6">
        <v>2400</v>
      </c>
      <c r="J143" s="6">
        <v>2400</v>
      </c>
      <c r="K143" s="6">
        <v>2400</v>
      </c>
      <c r="L143" s="6">
        <v>2400</v>
      </c>
      <c r="M143" s="6">
        <v>2400</v>
      </c>
      <c r="N143" s="7">
        <f t="shared" si="8"/>
        <v>28440</v>
      </c>
    </row>
    <row r="144" spans="1:16" x14ac:dyDescent="0.25">
      <c r="A144" s="5" t="s">
        <v>27</v>
      </c>
      <c r="B144" s="6">
        <v>3385.2</v>
      </c>
      <c r="C144" s="6">
        <v>3385.2</v>
      </c>
      <c r="D144" s="6">
        <v>3385.2</v>
      </c>
      <c r="E144" s="6">
        <v>3385.2</v>
      </c>
      <c r="F144" s="6">
        <v>3385.2</v>
      </c>
      <c r="G144" s="6">
        <v>3385.2</v>
      </c>
      <c r="H144" s="6">
        <v>3385.2</v>
      </c>
      <c r="I144" s="6">
        <v>3385.2</v>
      </c>
      <c r="J144" s="6">
        <v>3385.2</v>
      </c>
      <c r="K144" s="6">
        <v>3385.2</v>
      </c>
      <c r="L144" s="6">
        <v>3385.2</v>
      </c>
      <c r="M144" s="6">
        <v>3385.2</v>
      </c>
      <c r="N144" s="7">
        <f t="shared" si="8"/>
        <v>40622.399999999994</v>
      </c>
    </row>
    <row r="145" spans="1:14" x14ac:dyDescent="0.25">
      <c r="A145" s="5" t="s">
        <v>28</v>
      </c>
      <c r="B145" s="6">
        <v>27287.08</v>
      </c>
      <c r="C145" s="6">
        <v>27400.240000000002</v>
      </c>
      <c r="D145" s="6">
        <v>30600.26</v>
      </c>
      <c r="E145" s="6">
        <v>28182.1</v>
      </c>
      <c r="F145" s="6">
        <v>5725.2</v>
      </c>
      <c r="G145" s="6">
        <v>6626.24</v>
      </c>
      <c r="H145" s="6">
        <v>28262.639999999999</v>
      </c>
      <c r="I145" s="6">
        <v>28721.07</v>
      </c>
      <c r="J145" s="6">
        <v>14212.46</v>
      </c>
      <c r="K145" s="6">
        <v>28936.799999999999</v>
      </c>
      <c r="L145" s="6">
        <v>28128.47</v>
      </c>
      <c r="M145" s="6">
        <v>27848.720000000001</v>
      </c>
      <c r="N145" s="7">
        <f t="shared" si="8"/>
        <v>281931.28000000003</v>
      </c>
    </row>
    <row r="147" spans="1:14" ht="15.75" x14ac:dyDescent="0.25">
      <c r="A147" s="2" t="s">
        <v>37</v>
      </c>
    </row>
    <row r="148" spans="1:14" x14ac:dyDescent="0.25">
      <c r="A148" s="3" t="s">
        <v>2</v>
      </c>
      <c r="B148" s="4" t="s">
        <v>3</v>
      </c>
      <c r="C148" s="4" t="s">
        <v>4</v>
      </c>
      <c r="D148" s="4" t="s">
        <v>5</v>
      </c>
      <c r="E148" s="4" t="s">
        <v>6</v>
      </c>
      <c r="F148" s="4" t="s">
        <v>7</v>
      </c>
      <c r="G148" s="4" t="s">
        <v>8</v>
      </c>
      <c r="H148" s="4" t="s">
        <v>9</v>
      </c>
      <c r="I148" s="4" t="s">
        <v>10</v>
      </c>
      <c r="J148" s="4" t="s">
        <v>11</v>
      </c>
      <c r="K148" s="4" t="s">
        <v>12</v>
      </c>
      <c r="L148" s="4" t="s">
        <v>13</v>
      </c>
      <c r="M148" s="4" t="s">
        <v>14</v>
      </c>
      <c r="N148" s="4" t="s">
        <v>15</v>
      </c>
    </row>
    <row r="149" spans="1:14" x14ac:dyDescent="0.25">
      <c r="A149" s="5" t="s">
        <v>16</v>
      </c>
      <c r="B149" s="6">
        <v>2072.86</v>
      </c>
      <c r="C149" s="6">
        <v>2072.86</v>
      </c>
      <c r="D149" s="6">
        <v>2072.86</v>
      </c>
      <c r="E149" s="6">
        <v>2072.86</v>
      </c>
      <c r="F149" s="6">
        <v>2072.86</v>
      </c>
      <c r="G149" s="6">
        <v>2072.86</v>
      </c>
      <c r="H149" s="6">
        <v>2072.86</v>
      </c>
      <c r="I149" s="6">
        <v>2072.86</v>
      </c>
      <c r="J149" s="6">
        <v>2072.86</v>
      </c>
      <c r="K149" s="6">
        <v>2072.86</v>
      </c>
      <c r="L149" s="6">
        <v>2072.86</v>
      </c>
      <c r="M149" s="6">
        <v>2072.86</v>
      </c>
      <c r="N149" s="7">
        <f t="shared" ref="N149:N161" si="9">SUM(B149:M149)</f>
        <v>24874.320000000003</v>
      </c>
    </row>
    <row r="150" spans="1:14" x14ac:dyDescent="0.25">
      <c r="A150" s="8" t="s">
        <v>17</v>
      </c>
      <c r="B150" s="9">
        <v>4318.45</v>
      </c>
      <c r="C150" s="9">
        <v>4318.45</v>
      </c>
      <c r="D150" s="9">
        <v>4318.45</v>
      </c>
      <c r="E150" s="9">
        <v>4318.45</v>
      </c>
      <c r="F150" s="9">
        <v>4318.45</v>
      </c>
      <c r="G150" s="9">
        <v>4318.45</v>
      </c>
      <c r="H150" s="9">
        <v>4318.45</v>
      </c>
      <c r="I150" s="9">
        <v>4318.45</v>
      </c>
      <c r="J150" s="9">
        <v>4318.45</v>
      </c>
      <c r="K150" s="9">
        <v>4318.45</v>
      </c>
      <c r="L150" s="9">
        <v>4318.45</v>
      </c>
      <c r="M150" s="9">
        <v>4318.45</v>
      </c>
      <c r="N150" s="10">
        <f t="shared" si="9"/>
        <v>51821.399999999987</v>
      </c>
    </row>
    <row r="151" spans="1:14" x14ac:dyDescent="0.25">
      <c r="A151" s="8" t="s">
        <v>18</v>
      </c>
      <c r="B151" s="9">
        <v>604.59</v>
      </c>
      <c r="C151" s="9">
        <v>604.59</v>
      </c>
      <c r="D151" s="9">
        <v>604.59</v>
      </c>
      <c r="E151" s="9">
        <v>604.59</v>
      </c>
      <c r="F151" s="9">
        <v>604.59</v>
      </c>
      <c r="G151" s="9">
        <v>604.59</v>
      </c>
      <c r="H151" s="9">
        <v>604.59</v>
      </c>
      <c r="I151" s="9">
        <v>604.59</v>
      </c>
      <c r="J151" s="9">
        <v>604.59</v>
      </c>
      <c r="K151" s="9">
        <v>604.59</v>
      </c>
      <c r="L151" s="9">
        <v>604.59</v>
      </c>
      <c r="M151" s="9">
        <v>604.59</v>
      </c>
      <c r="N151" s="10">
        <f t="shared" si="9"/>
        <v>7255.0800000000008</v>
      </c>
    </row>
    <row r="152" spans="1:14" x14ac:dyDescent="0.25">
      <c r="A152" s="8" t="s">
        <v>19</v>
      </c>
      <c r="B152" s="9">
        <v>3200</v>
      </c>
      <c r="C152" s="9">
        <v>3200</v>
      </c>
      <c r="D152" s="9">
        <v>3200</v>
      </c>
      <c r="E152" s="9">
        <v>3160</v>
      </c>
      <c r="F152" s="9">
        <v>3160</v>
      </c>
      <c r="G152" s="9">
        <v>3160</v>
      </c>
      <c r="H152" s="9">
        <v>3160</v>
      </c>
      <c r="I152" s="9">
        <v>3200</v>
      </c>
      <c r="J152" s="9">
        <v>3200</v>
      </c>
      <c r="K152" s="9">
        <v>3200</v>
      </c>
      <c r="L152" s="9">
        <v>3200</v>
      </c>
      <c r="M152" s="9">
        <v>3200</v>
      </c>
      <c r="N152" s="10">
        <f t="shared" si="9"/>
        <v>38240</v>
      </c>
    </row>
    <row r="153" spans="1:14" x14ac:dyDescent="0.25">
      <c r="A153" s="8" t="s">
        <v>20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10">
        <f t="shared" si="9"/>
        <v>0</v>
      </c>
    </row>
    <row r="154" spans="1:14" x14ac:dyDescent="0.25">
      <c r="A154" s="8" t="s">
        <v>21</v>
      </c>
      <c r="B154" s="9">
        <v>2092.3000000000002</v>
      </c>
      <c r="C154" s="9">
        <v>2092.3000000000002</v>
      </c>
      <c r="D154" s="9">
        <v>2092.3000000000002</v>
      </c>
      <c r="E154" s="9">
        <v>2051.14</v>
      </c>
      <c r="F154" s="9">
        <v>2051.14</v>
      </c>
      <c r="G154" s="9">
        <v>2051.14</v>
      </c>
      <c r="H154" s="9">
        <v>2051.14</v>
      </c>
      <c r="I154" s="9">
        <v>2272.25</v>
      </c>
      <c r="J154" s="9">
        <v>2272.25</v>
      </c>
      <c r="K154" s="9">
        <v>2272.25</v>
      </c>
      <c r="L154" s="9">
        <v>2272.25</v>
      </c>
      <c r="M154" s="9">
        <v>2272.25</v>
      </c>
      <c r="N154" s="10">
        <f t="shared" si="9"/>
        <v>25842.71</v>
      </c>
    </row>
    <row r="155" spans="1:14" x14ac:dyDescent="0.25">
      <c r="A155" s="8" t="s">
        <v>22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10">
        <f t="shared" si="9"/>
        <v>0</v>
      </c>
    </row>
    <row r="156" spans="1:14" x14ac:dyDescent="0.25">
      <c r="A156" s="8" t="s">
        <v>23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0">
        <f t="shared" si="9"/>
        <v>0</v>
      </c>
    </row>
    <row r="157" spans="1:14" x14ac:dyDescent="0.25">
      <c r="A157" s="8" t="s">
        <v>24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10">
        <f t="shared" si="9"/>
        <v>0</v>
      </c>
    </row>
    <row r="158" spans="1:14" x14ac:dyDescent="0.25">
      <c r="A158" s="5" t="s">
        <v>25</v>
      </c>
      <c r="B158" s="6">
        <v>10215.34</v>
      </c>
      <c r="C158" s="6">
        <v>10215.34</v>
      </c>
      <c r="D158" s="6">
        <v>10215.34</v>
      </c>
      <c r="E158" s="6">
        <v>10134.18</v>
      </c>
      <c r="F158" s="6">
        <v>10134.18</v>
      </c>
      <c r="G158" s="6">
        <v>10134.18</v>
      </c>
      <c r="H158" s="6">
        <v>10134.18</v>
      </c>
      <c r="I158" s="6">
        <v>10395.290000000001</v>
      </c>
      <c r="J158" s="6">
        <v>10395.290000000001</v>
      </c>
      <c r="K158" s="6">
        <v>10395.290000000001</v>
      </c>
      <c r="L158" s="6">
        <v>10395.290000000001</v>
      </c>
      <c r="M158" s="6">
        <v>10395.290000000001</v>
      </c>
      <c r="N158" s="7">
        <f t="shared" si="9"/>
        <v>123159.19000000003</v>
      </c>
    </row>
    <row r="159" spans="1:14" x14ac:dyDescent="0.25">
      <c r="A159" s="5" t="s">
        <v>26</v>
      </c>
      <c r="B159" s="6">
        <v>1020</v>
      </c>
      <c r="C159" s="6">
        <v>1020</v>
      </c>
      <c r="D159" s="6">
        <v>1020</v>
      </c>
      <c r="E159" s="6">
        <v>960</v>
      </c>
      <c r="F159" s="6">
        <v>960</v>
      </c>
      <c r="G159" s="6">
        <v>960</v>
      </c>
      <c r="H159" s="6">
        <v>960</v>
      </c>
      <c r="I159" s="6">
        <v>1020</v>
      </c>
      <c r="J159" s="6">
        <v>1020</v>
      </c>
      <c r="K159" s="6">
        <v>1020</v>
      </c>
      <c r="L159" s="6">
        <v>1020</v>
      </c>
      <c r="M159" s="6">
        <v>1020</v>
      </c>
      <c r="N159" s="7">
        <f t="shared" si="9"/>
        <v>12000</v>
      </c>
    </row>
    <row r="160" spans="1:14" x14ac:dyDescent="0.25">
      <c r="A160" s="5" t="s">
        <v>27</v>
      </c>
      <c r="B160" s="6">
        <v>863.69</v>
      </c>
      <c r="C160" s="6">
        <v>863.69</v>
      </c>
      <c r="D160" s="6">
        <v>863.69</v>
      </c>
      <c r="E160" s="6">
        <v>863.69</v>
      </c>
      <c r="F160" s="6">
        <v>863.69</v>
      </c>
      <c r="G160" s="6">
        <v>863.69</v>
      </c>
      <c r="H160" s="6">
        <v>863.69</v>
      </c>
      <c r="I160" s="6">
        <v>863.69</v>
      </c>
      <c r="J160" s="6">
        <v>863.69</v>
      </c>
      <c r="K160" s="6">
        <v>863.69</v>
      </c>
      <c r="L160" s="6">
        <v>863.69</v>
      </c>
      <c r="M160" s="6">
        <v>863.69</v>
      </c>
      <c r="N160" s="7">
        <f t="shared" si="9"/>
        <v>10364.280000000004</v>
      </c>
    </row>
    <row r="161" spans="1:15" x14ac:dyDescent="0.25">
      <c r="A161" s="5" t="s">
        <v>28</v>
      </c>
      <c r="B161" s="6">
        <v>14171.89</v>
      </c>
      <c r="C161" s="6">
        <v>14171.89</v>
      </c>
      <c r="D161" s="6">
        <v>14171.89</v>
      </c>
      <c r="E161" s="6">
        <v>14030.73</v>
      </c>
      <c r="F161" s="6">
        <v>960</v>
      </c>
      <c r="G161" s="6">
        <v>6085.8</v>
      </c>
      <c r="H161" s="6">
        <v>14030.73</v>
      </c>
      <c r="I161" s="6">
        <v>14351.84</v>
      </c>
      <c r="J161" s="6">
        <v>9240.35</v>
      </c>
      <c r="K161" s="6">
        <v>14351.84</v>
      </c>
      <c r="L161" s="6">
        <v>14351.84</v>
      </c>
      <c r="M161" s="6">
        <v>14351.84</v>
      </c>
      <c r="N161" s="7">
        <f t="shared" si="9"/>
        <v>144270.63999999998</v>
      </c>
    </row>
    <row r="163" spans="1:15" ht="15.75" x14ac:dyDescent="0.25">
      <c r="A163" s="2" t="s">
        <v>38</v>
      </c>
    </row>
    <row r="164" spans="1:15" x14ac:dyDescent="0.25">
      <c r="A164" s="3" t="s">
        <v>2</v>
      </c>
      <c r="B164" s="4" t="s">
        <v>3</v>
      </c>
      <c r="C164" s="4" t="s">
        <v>4</v>
      </c>
      <c r="D164" s="4" t="s">
        <v>5</v>
      </c>
      <c r="E164" s="4" t="s">
        <v>6</v>
      </c>
      <c r="F164" s="4" t="s">
        <v>7</v>
      </c>
      <c r="G164" s="4" t="s">
        <v>8</v>
      </c>
      <c r="H164" s="4" t="s">
        <v>9</v>
      </c>
      <c r="I164" s="4" t="s">
        <v>10</v>
      </c>
      <c r="J164" s="4" t="s">
        <v>11</v>
      </c>
      <c r="K164" s="4" t="s">
        <v>12</v>
      </c>
      <c r="L164" s="4" t="s">
        <v>13</v>
      </c>
      <c r="M164" s="4" t="s">
        <v>14</v>
      </c>
      <c r="N164" s="4" t="s">
        <v>15</v>
      </c>
    </row>
    <row r="165" spans="1:15" x14ac:dyDescent="0.25">
      <c r="A165" s="5" t="s">
        <v>16</v>
      </c>
      <c r="B165" s="6">
        <v>1713.4</v>
      </c>
      <c r="C165" s="6">
        <v>1713.4</v>
      </c>
      <c r="D165" s="6">
        <v>1713.4</v>
      </c>
      <c r="E165" s="6">
        <v>1713.4</v>
      </c>
      <c r="F165" s="6">
        <v>1713.4</v>
      </c>
      <c r="G165" s="6">
        <v>1713.4</v>
      </c>
      <c r="H165" s="6">
        <v>1713.4</v>
      </c>
      <c r="I165" s="6">
        <v>1713.4</v>
      </c>
      <c r="J165" s="6">
        <v>1713.4</v>
      </c>
      <c r="K165" s="6">
        <v>1713.4</v>
      </c>
      <c r="L165" s="6">
        <v>1713.4</v>
      </c>
      <c r="M165" s="6">
        <v>1713.4</v>
      </c>
      <c r="N165" s="7">
        <f t="shared" ref="N165:N177" si="10">SUM(B165:M165)</f>
        <v>20560.800000000003</v>
      </c>
    </row>
    <row r="166" spans="1:15" x14ac:dyDescent="0.25">
      <c r="A166" s="8" t="s">
        <v>17</v>
      </c>
      <c r="B166" s="9">
        <v>3671.58</v>
      </c>
      <c r="C166" s="9">
        <v>3671.58</v>
      </c>
      <c r="D166" s="9">
        <v>3671.58</v>
      </c>
      <c r="E166" s="9">
        <v>3671.58</v>
      </c>
      <c r="F166" s="9">
        <v>3671.58</v>
      </c>
      <c r="G166" s="9">
        <v>3671.58</v>
      </c>
      <c r="H166" s="9">
        <v>3671.58</v>
      </c>
      <c r="I166" s="9">
        <v>3671.58</v>
      </c>
      <c r="J166" s="9">
        <v>3671.58</v>
      </c>
      <c r="K166" s="9">
        <v>3671.58</v>
      </c>
      <c r="L166" s="9">
        <v>3671.58</v>
      </c>
      <c r="M166" s="9">
        <v>3671.58</v>
      </c>
      <c r="N166" s="10">
        <f t="shared" si="10"/>
        <v>44058.960000000014</v>
      </c>
    </row>
    <row r="167" spans="1:15" x14ac:dyDescent="0.25">
      <c r="A167" s="8" t="s">
        <v>18</v>
      </c>
      <c r="B167" s="9">
        <v>611.92999999999995</v>
      </c>
      <c r="C167" s="9">
        <v>611.92999999999995</v>
      </c>
      <c r="D167" s="9">
        <v>611.92999999999995</v>
      </c>
      <c r="E167" s="9">
        <v>611.92999999999995</v>
      </c>
      <c r="F167" s="9">
        <v>611.92999999999995</v>
      </c>
      <c r="G167" s="9">
        <v>611.92999999999995</v>
      </c>
      <c r="H167" s="9">
        <v>611.92999999999995</v>
      </c>
      <c r="I167" s="9">
        <v>611.92999999999995</v>
      </c>
      <c r="J167" s="9">
        <v>611.92999999999995</v>
      </c>
      <c r="K167" s="9">
        <v>611.92999999999995</v>
      </c>
      <c r="L167" s="9">
        <v>611.92999999999995</v>
      </c>
      <c r="M167" s="9">
        <v>611.92999999999995</v>
      </c>
      <c r="N167" s="10">
        <f t="shared" si="10"/>
        <v>7343.1600000000008</v>
      </c>
    </row>
    <row r="168" spans="1:15" x14ac:dyDescent="0.25">
      <c r="A168" s="8" t="s">
        <v>19</v>
      </c>
      <c r="B168" s="9">
        <v>2486</v>
      </c>
      <c r="C168" s="9">
        <v>2486</v>
      </c>
      <c r="D168" s="9">
        <v>2486</v>
      </c>
      <c r="E168" s="9">
        <v>2486</v>
      </c>
      <c r="F168" s="9">
        <v>2486</v>
      </c>
      <c r="G168" s="9">
        <v>2486</v>
      </c>
      <c r="H168" s="9">
        <v>2398</v>
      </c>
      <c r="I168" s="9">
        <v>2442</v>
      </c>
      <c r="J168" s="9">
        <v>2442</v>
      </c>
      <c r="K168" s="9">
        <v>2442</v>
      </c>
      <c r="L168" s="9">
        <v>2442</v>
      </c>
      <c r="M168" s="9">
        <v>2442</v>
      </c>
      <c r="N168" s="10">
        <f t="shared" si="10"/>
        <v>29524</v>
      </c>
      <c r="O168" s="12">
        <f>SUM(H168:M168)</f>
        <v>14608</v>
      </c>
    </row>
    <row r="169" spans="1:15" x14ac:dyDescent="0.25">
      <c r="A169" s="8" t="s">
        <v>20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0">
        <f t="shared" si="10"/>
        <v>0</v>
      </c>
    </row>
    <row r="170" spans="1:15" x14ac:dyDescent="0.25">
      <c r="A170" s="8" t="s">
        <v>21</v>
      </c>
      <c r="B170" s="9">
        <v>1666.98</v>
      </c>
      <c r="C170" s="9">
        <v>1666.98</v>
      </c>
      <c r="D170" s="9">
        <v>1666.98</v>
      </c>
      <c r="E170" s="9">
        <v>1666.98</v>
      </c>
      <c r="F170" s="9">
        <v>1666.98</v>
      </c>
      <c r="G170" s="9">
        <v>1666.98</v>
      </c>
      <c r="H170" s="9">
        <v>1612.1</v>
      </c>
      <c r="I170" s="9">
        <v>1788</v>
      </c>
      <c r="J170" s="9">
        <v>1788</v>
      </c>
      <c r="K170" s="9">
        <v>1788</v>
      </c>
      <c r="L170" s="9">
        <v>1788</v>
      </c>
      <c r="M170" s="9">
        <v>1788</v>
      </c>
      <c r="N170" s="10">
        <f t="shared" si="10"/>
        <v>20553.98</v>
      </c>
      <c r="O170" s="12">
        <f>SUM(H170:M170)</f>
        <v>10552.1</v>
      </c>
    </row>
    <row r="171" spans="1:15" x14ac:dyDescent="0.25">
      <c r="A171" s="8" t="s">
        <v>22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0">
        <f t="shared" si="10"/>
        <v>0</v>
      </c>
    </row>
    <row r="172" spans="1:15" x14ac:dyDescent="0.25">
      <c r="A172" s="8" t="s">
        <v>23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0">
        <f t="shared" si="10"/>
        <v>0</v>
      </c>
    </row>
    <row r="173" spans="1:15" x14ac:dyDescent="0.25">
      <c r="A173" s="8" t="s">
        <v>24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0">
        <f t="shared" si="10"/>
        <v>0</v>
      </c>
    </row>
    <row r="174" spans="1:15" x14ac:dyDescent="0.25">
      <c r="A174" s="5" t="s">
        <v>25</v>
      </c>
      <c r="B174" s="6">
        <v>8436.49</v>
      </c>
      <c r="C174" s="6">
        <v>8436.49</v>
      </c>
      <c r="D174" s="6">
        <v>8436.49</v>
      </c>
      <c r="E174" s="6">
        <v>8436.49</v>
      </c>
      <c r="F174" s="6">
        <v>8436.49</v>
      </c>
      <c r="G174" s="6">
        <v>8436.49</v>
      </c>
      <c r="H174" s="6">
        <v>8293.61</v>
      </c>
      <c r="I174" s="6">
        <v>8513.51</v>
      </c>
      <c r="J174" s="6">
        <v>8513.51</v>
      </c>
      <c r="K174" s="6">
        <v>8513.51</v>
      </c>
      <c r="L174" s="6">
        <v>8513.51</v>
      </c>
      <c r="M174" s="6">
        <v>8513.51</v>
      </c>
      <c r="N174" s="7">
        <f t="shared" si="10"/>
        <v>101480.09999999998</v>
      </c>
    </row>
    <row r="175" spans="1:15" x14ac:dyDescent="0.25">
      <c r="A175" s="5" t="s">
        <v>26</v>
      </c>
      <c r="B175" s="6">
        <v>960</v>
      </c>
      <c r="C175" s="6">
        <v>960</v>
      </c>
      <c r="D175" s="6">
        <v>960</v>
      </c>
      <c r="E175" s="6">
        <v>960</v>
      </c>
      <c r="F175" s="6">
        <v>960</v>
      </c>
      <c r="G175" s="6">
        <v>960</v>
      </c>
      <c r="H175" s="6">
        <v>900</v>
      </c>
      <c r="I175" s="6">
        <v>900</v>
      </c>
      <c r="J175" s="6">
        <v>900</v>
      </c>
      <c r="K175" s="6">
        <v>900</v>
      </c>
      <c r="L175" s="6">
        <v>900</v>
      </c>
      <c r="M175" s="6">
        <v>900</v>
      </c>
      <c r="N175" s="7">
        <f t="shared" si="10"/>
        <v>11160</v>
      </c>
    </row>
    <row r="176" spans="1:15" x14ac:dyDescent="0.25">
      <c r="A176" s="5" t="s">
        <v>27</v>
      </c>
      <c r="B176" s="6">
        <v>2692.49</v>
      </c>
      <c r="C176" s="6">
        <v>2692.49</v>
      </c>
      <c r="D176" s="6">
        <v>2692.49</v>
      </c>
      <c r="E176" s="6">
        <v>2692.49</v>
      </c>
      <c r="F176" s="6">
        <v>2692.49</v>
      </c>
      <c r="G176" s="6">
        <v>2692.49</v>
      </c>
      <c r="H176" s="6">
        <v>2692.49</v>
      </c>
      <c r="I176" s="6">
        <v>2692.49</v>
      </c>
      <c r="J176" s="6">
        <v>2692.49</v>
      </c>
      <c r="K176" s="6">
        <v>2692.49</v>
      </c>
      <c r="L176" s="6">
        <v>2692.49</v>
      </c>
      <c r="M176" s="6">
        <v>2692.49</v>
      </c>
      <c r="N176" s="7">
        <f t="shared" si="10"/>
        <v>32309.87999999999</v>
      </c>
    </row>
    <row r="177" spans="1:15" x14ac:dyDescent="0.25">
      <c r="A177" s="5" t="s">
        <v>28</v>
      </c>
      <c r="B177" s="6">
        <v>13802.38</v>
      </c>
      <c r="C177" s="6">
        <v>13802.38</v>
      </c>
      <c r="D177" s="6">
        <v>13802.38</v>
      </c>
      <c r="E177" s="6">
        <v>13802.38</v>
      </c>
      <c r="F177" s="6">
        <v>5365.89</v>
      </c>
      <c r="G177" s="6">
        <v>5993.52</v>
      </c>
      <c r="H177" s="6">
        <v>13599.5</v>
      </c>
      <c r="I177" s="6">
        <v>13819.4</v>
      </c>
      <c r="J177" s="6">
        <v>6017.07</v>
      </c>
      <c r="K177" s="6">
        <v>13819.4</v>
      </c>
      <c r="L177" s="6">
        <v>13819.4</v>
      </c>
      <c r="M177" s="6">
        <v>13819.4</v>
      </c>
      <c r="N177" s="7">
        <f t="shared" si="10"/>
        <v>141463.09999999998</v>
      </c>
    </row>
    <row r="179" spans="1:15" ht="15.75" x14ac:dyDescent="0.25">
      <c r="A179" s="2" t="s">
        <v>39</v>
      </c>
    </row>
    <row r="180" spans="1:15" x14ac:dyDescent="0.25">
      <c r="A180" s="3" t="s">
        <v>2</v>
      </c>
      <c r="B180" s="4" t="s">
        <v>3</v>
      </c>
      <c r="C180" s="4" t="s">
        <v>4</v>
      </c>
      <c r="D180" s="4" t="s">
        <v>5</v>
      </c>
      <c r="E180" s="4" t="s">
        <v>6</v>
      </c>
      <c r="F180" s="4" t="s">
        <v>7</v>
      </c>
      <c r="G180" s="4" t="s">
        <v>8</v>
      </c>
      <c r="H180" s="4" t="s">
        <v>9</v>
      </c>
      <c r="I180" s="4" t="s">
        <v>10</v>
      </c>
      <c r="J180" s="4" t="s">
        <v>11</v>
      </c>
      <c r="K180" s="4" t="s">
        <v>12</v>
      </c>
      <c r="L180" s="4" t="s">
        <v>13</v>
      </c>
      <c r="M180" s="4" t="s">
        <v>14</v>
      </c>
      <c r="N180" s="4" t="s">
        <v>15</v>
      </c>
    </row>
    <row r="181" spans="1:15" x14ac:dyDescent="0.25">
      <c r="A181" s="5" t="s">
        <v>16</v>
      </c>
      <c r="B181" s="6">
        <v>1299.6199999999999</v>
      </c>
      <c r="C181" s="6">
        <v>1299.6199999999999</v>
      </c>
      <c r="D181" s="6">
        <v>1299.6199999999999</v>
      </c>
      <c r="E181" s="6">
        <v>1299.6199999999999</v>
      </c>
      <c r="F181" s="6">
        <v>1299.6199999999999</v>
      </c>
      <c r="G181" s="6">
        <v>1299.6199999999999</v>
      </c>
      <c r="H181" s="6">
        <v>1299.6199999999999</v>
      </c>
      <c r="I181" s="6">
        <v>1299.6199999999999</v>
      </c>
      <c r="J181" s="6">
        <v>1299.6199999999999</v>
      </c>
      <c r="K181" s="6">
        <v>1299.6199999999999</v>
      </c>
      <c r="L181" s="6">
        <v>1299.6199999999999</v>
      </c>
      <c r="M181" s="6">
        <v>1299.6199999999999</v>
      </c>
      <c r="N181" s="7">
        <f t="shared" ref="N181:N193" si="11">SUM(B181:M181)</f>
        <v>15595.439999999995</v>
      </c>
    </row>
    <row r="182" spans="1:15" x14ac:dyDescent="0.25">
      <c r="A182" s="8" t="s">
        <v>17</v>
      </c>
      <c r="B182" s="9">
        <v>2825.25</v>
      </c>
      <c r="C182" s="9">
        <v>2825.25</v>
      </c>
      <c r="D182" s="9">
        <v>2825.25</v>
      </c>
      <c r="E182" s="9">
        <v>2825.25</v>
      </c>
      <c r="F182" s="9">
        <v>2825.25</v>
      </c>
      <c r="G182" s="9">
        <v>2825.25</v>
      </c>
      <c r="H182" s="9">
        <v>2825.25</v>
      </c>
      <c r="I182" s="9">
        <v>2825.25</v>
      </c>
      <c r="J182" s="9">
        <v>2825.25</v>
      </c>
      <c r="K182" s="9">
        <v>2825.25</v>
      </c>
      <c r="L182" s="9">
        <v>2825.25</v>
      </c>
      <c r="M182" s="9">
        <v>2825.25</v>
      </c>
      <c r="N182" s="10">
        <f t="shared" si="11"/>
        <v>33903</v>
      </c>
    </row>
    <row r="183" spans="1:15" x14ac:dyDescent="0.25">
      <c r="A183" s="8" t="s">
        <v>18</v>
      </c>
      <c r="B183" s="9">
        <v>395.54</v>
      </c>
      <c r="C183" s="9">
        <v>395.54</v>
      </c>
      <c r="D183" s="9">
        <v>395.54</v>
      </c>
      <c r="E183" s="9">
        <v>395.54</v>
      </c>
      <c r="F183" s="9">
        <v>395.54</v>
      </c>
      <c r="G183" s="9">
        <v>395.54</v>
      </c>
      <c r="H183" s="9">
        <v>395.54</v>
      </c>
      <c r="I183" s="9">
        <v>395.54</v>
      </c>
      <c r="J183" s="9">
        <v>395.54</v>
      </c>
      <c r="K183" s="9">
        <v>395.54</v>
      </c>
      <c r="L183" s="9">
        <v>395.54</v>
      </c>
      <c r="M183" s="9">
        <v>395.54</v>
      </c>
      <c r="N183" s="10">
        <f t="shared" si="11"/>
        <v>4746.4800000000005</v>
      </c>
    </row>
    <row r="184" spans="1:15" x14ac:dyDescent="0.25">
      <c r="A184" s="8" t="s">
        <v>19</v>
      </c>
      <c r="B184" s="9">
        <v>2400</v>
      </c>
      <c r="C184" s="9">
        <v>2400</v>
      </c>
      <c r="D184" s="9">
        <v>2400</v>
      </c>
      <c r="E184" s="9">
        <v>2480</v>
      </c>
      <c r="F184" s="9">
        <v>2480</v>
      </c>
      <c r="G184" s="9">
        <v>2480</v>
      </c>
      <c r="H184" s="9">
        <v>2480</v>
      </c>
      <c r="I184" s="9">
        <v>2480</v>
      </c>
      <c r="J184" s="9">
        <v>2480</v>
      </c>
      <c r="K184" s="9">
        <v>2480</v>
      </c>
      <c r="L184" s="9">
        <v>2480</v>
      </c>
      <c r="M184" s="9">
        <v>2480</v>
      </c>
      <c r="N184" s="10">
        <f t="shared" si="11"/>
        <v>29520</v>
      </c>
      <c r="O184" s="12">
        <f>SUM(H184:M184)</f>
        <v>14880</v>
      </c>
    </row>
    <row r="185" spans="1:15" x14ac:dyDescent="0.25">
      <c r="A185" s="8" t="s">
        <v>20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0">
        <f t="shared" si="11"/>
        <v>0</v>
      </c>
    </row>
    <row r="186" spans="1:15" x14ac:dyDescent="0.25">
      <c r="A186" s="8" t="s">
        <v>21</v>
      </c>
      <c r="B186" s="9">
        <v>1234.8</v>
      </c>
      <c r="C186" s="9">
        <v>1234.8</v>
      </c>
      <c r="D186" s="9">
        <v>1234.8</v>
      </c>
      <c r="E186" s="9">
        <v>1275.96</v>
      </c>
      <c r="F186" s="9">
        <v>1275.96</v>
      </c>
      <c r="G186" s="9">
        <v>1275.96</v>
      </c>
      <c r="H186" s="9">
        <v>1275.96</v>
      </c>
      <c r="I186" s="9">
        <v>1385.7</v>
      </c>
      <c r="J186" s="9">
        <v>1385.7</v>
      </c>
      <c r="K186" s="9">
        <v>1385.7</v>
      </c>
      <c r="L186" s="9">
        <v>1385.7</v>
      </c>
      <c r="M186" s="9">
        <v>1385.7</v>
      </c>
      <c r="N186" s="10">
        <f t="shared" si="11"/>
        <v>15736.740000000003</v>
      </c>
      <c r="O186" s="12">
        <f>SUM(H186:M186)</f>
        <v>8204.4599999999991</v>
      </c>
    </row>
    <row r="187" spans="1:15" x14ac:dyDescent="0.25">
      <c r="A187" s="8" t="s">
        <v>22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0">
        <f t="shared" si="11"/>
        <v>0</v>
      </c>
    </row>
    <row r="188" spans="1:15" x14ac:dyDescent="0.25">
      <c r="A188" s="8" t="s">
        <v>23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0">
        <f t="shared" si="11"/>
        <v>0</v>
      </c>
    </row>
    <row r="189" spans="1:15" x14ac:dyDescent="0.25">
      <c r="A189" s="8" t="s">
        <v>24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0">
        <f t="shared" si="11"/>
        <v>0</v>
      </c>
    </row>
    <row r="190" spans="1:15" x14ac:dyDescent="0.25">
      <c r="A190" s="5" t="s">
        <v>25</v>
      </c>
      <c r="B190" s="6">
        <v>6855.59</v>
      </c>
      <c r="C190" s="6">
        <v>6855.59</v>
      </c>
      <c r="D190" s="6">
        <v>6855.59</v>
      </c>
      <c r="E190" s="6">
        <v>6976.75</v>
      </c>
      <c r="F190" s="6">
        <v>6976.75</v>
      </c>
      <c r="G190" s="6">
        <v>6976.75</v>
      </c>
      <c r="H190" s="6">
        <v>4143</v>
      </c>
      <c r="I190" s="6">
        <v>7086.49</v>
      </c>
      <c r="J190" s="6">
        <v>7086.49</v>
      </c>
      <c r="K190" s="6">
        <v>7086.49</v>
      </c>
      <c r="L190" s="6">
        <v>7086.49</v>
      </c>
      <c r="M190" s="6">
        <v>7086.49</v>
      </c>
      <c r="N190" s="7">
        <f t="shared" si="11"/>
        <v>81072.470000000016</v>
      </c>
    </row>
    <row r="191" spans="1:15" x14ac:dyDescent="0.25">
      <c r="A191" s="5" t="s">
        <v>26</v>
      </c>
      <c r="B191" s="6">
        <v>780</v>
      </c>
      <c r="C191" s="6">
        <v>780</v>
      </c>
      <c r="D191" s="6">
        <v>780</v>
      </c>
      <c r="E191" s="6">
        <v>780</v>
      </c>
      <c r="F191" s="6">
        <v>780</v>
      </c>
      <c r="G191" s="6">
        <v>780</v>
      </c>
      <c r="H191" s="6">
        <v>780</v>
      </c>
      <c r="I191" s="6">
        <v>780</v>
      </c>
      <c r="J191" s="6">
        <v>780</v>
      </c>
      <c r="K191" s="6">
        <v>780</v>
      </c>
      <c r="L191" s="6">
        <v>780</v>
      </c>
      <c r="M191" s="6">
        <v>780</v>
      </c>
      <c r="N191" s="7">
        <f t="shared" si="11"/>
        <v>9360</v>
      </c>
    </row>
    <row r="192" spans="1:15" x14ac:dyDescent="0.25">
      <c r="A192" s="5" t="s">
        <v>27</v>
      </c>
      <c r="B192" s="6">
        <v>2260.1999999999998</v>
      </c>
      <c r="C192" s="6">
        <v>2260.1999999999998</v>
      </c>
      <c r="D192" s="6">
        <v>2260.1999999999998</v>
      </c>
      <c r="E192" s="6">
        <v>2260.1999999999998</v>
      </c>
      <c r="F192" s="6">
        <v>2260.1999999999998</v>
      </c>
      <c r="G192" s="6">
        <v>2260.1999999999998</v>
      </c>
      <c r="H192" s="6">
        <v>2260.1999999999998</v>
      </c>
      <c r="I192" s="6">
        <v>2260.1999999999998</v>
      </c>
      <c r="J192" s="6">
        <v>2260.1999999999998</v>
      </c>
      <c r="K192" s="6">
        <v>2260.1999999999998</v>
      </c>
      <c r="L192" s="6">
        <v>2260.1999999999998</v>
      </c>
      <c r="M192" s="6">
        <v>2260.1999999999998</v>
      </c>
      <c r="N192" s="7">
        <f t="shared" si="11"/>
        <v>27122.400000000005</v>
      </c>
    </row>
    <row r="193" spans="1:14" x14ac:dyDescent="0.25">
      <c r="A193" s="5" t="s">
        <v>28</v>
      </c>
      <c r="B193" s="6">
        <v>11195.41</v>
      </c>
      <c r="C193" s="6">
        <v>11195.41</v>
      </c>
      <c r="D193" s="6">
        <v>11195.41</v>
      </c>
      <c r="E193" s="6">
        <v>11316.57</v>
      </c>
      <c r="F193" s="6">
        <v>4339.82</v>
      </c>
      <c r="G193" s="6">
        <v>4339.82</v>
      </c>
      <c r="H193" s="6">
        <v>8482.59</v>
      </c>
      <c r="I193" s="6">
        <v>11426.31</v>
      </c>
      <c r="J193" s="6">
        <v>4990.3500000000004</v>
      </c>
      <c r="K193" s="6">
        <v>11426.31</v>
      </c>
      <c r="L193" s="6">
        <v>11426.31</v>
      </c>
      <c r="M193" s="6">
        <v>11426.31</v>
      </c>
      <c r="N193" s="7">
        <f t="shared" si="11"/>
        <v>112760.62</v>
      </c>
    </row>
    <row r="195" spans="1:14" ht="15.75" x14ac:dyDescent="0.25">
      <c r="A195" s="2" t="s">
        <v>40</v>
      </c>
    </row>
    <row r="196" spans="1:14" x14ac:dyDescent="0.25">
      <c r="A196" s="3" t="s">
        <v>2</v>
      </c>
      <c r="B196" s="4" t="s">
        <v>3</v>
      </c>
      <c r="C196" s="4" t="s">
        <v>4</v>
      </c>
      <c r="D196" s="4" t="s">
        <v>5</v>
      </c>
      <c r="E196" s="4" t="s">
        <v>6</v>
      </c>
      <c r="F196" s="4" t="s">
        <v>7</v>
      </c>
      <c r="G196" s="4" t="s">
        <v>8</v>
      </c>
      <c r="H196" s="4" t="s">
        <v>9</v>
      </c>
      <c r="I196" s="4" t="s">
        <v>10</v>
      </c>
      <c r="J196" s="4" t="s">
        <v>11</v>
      </c>
      <c r="K196" s="4" t="s">
        <v>12</v>
      </c>
      <c r="L196" s="4" t="s">
        <v>13</v>
      </c>
      <c r="M196" s="4" t="s">
        <v>14</v>
      </c>
      <c r="N196" s="4" t="s">
        <v>15</v>
      </c>
    </row>
    <row r="197" spans="1:14" x14ac:dyDescent="0.25">
      <c r="A197" s="5" t="s">
        <v>16</v>
      </c>
      <c r="B197" s="6">
        <v>916.85</v>
      </c>
      <c r="C197" s="6">
        <v>916.85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7">
        <f t="shared" ref="N197:N209" si="12">SUM(B197:M197)</f>
        <v>1833.7</v>
      </c>
    </row>
    <row r="198" spans="1:14" x14ac:dyDescent="0.25">
      <c r="A198" s="8" t="s">
        <v>17</v>
      </c>
      <c r="B198" s="9">
        <v>1003.35</v>
      </c>
      <c r="C198" s="9">
        <v>1003.35</v>
      </c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0">
        <f t="shared" si="12"/>
        <v>2006.7</v>
      </c>
    </row>
    <row r="199" spans="1:14" x14ac:dyDescent="0.25">
      <c r="A199" s="8" t="s">
        <v>18</v>
      </c>
      <c r="B199" s="9">
        <v>140.47</v>
      </c>
      <c r="C199" s="9">
        <v>140.47</v>
      </c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0">
        <f t="shared" si="12"/>
        <v>280.94</v>
      </c>
    </row>
    <row r="200" spans="1:14" x14ac:dyDescent="0.25">
      <c r="A200" s="8" t="s">
        <v>19</v>
      </c>
      <c r="B200" s="9">
        <v>936</v>
      </c>
      <c r="C200" s="9">
        <v>936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0">
        <f t="shared" si="12"/>
        <v>1872</v>
      </c>
    </row>
    <row r="201" spans="1:14" x14ac:dyDescent="0.25">
      <c r="A201" s="8" t="s">
        <v>20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0">
        <f t="shared" si="12"/>
        <v>0</v>
      </c>
    </row>
    <row r="202" spans="1:14" x14ac:dyDescent="0.25">
      <c r="A202" s="8" t="s">
        <v>21</v>
      </c>
      <c r="B202" s="9">
        <v>658.56</v>
      </c>
      <c r="C202" s="9">
        <v>658.56</v>
      </c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0">
        <f t="shared" si="12"/>
        <v>1317.12</v>
      </c>
    </row>
    <row r="203" spans="1:14" x14ac:dyDescent="0.25">
      <c r="A203" s="8" t="s">
        <v>22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0">
        <f t="shared" si="12"/>
        <v>0</v>
      </c>
    </row>
    <row r="204" spans="1:14" x14ac:dyDescent="0.25">
      <c r="A204" s="8" t="s">
        <v>23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0">
        <f t="shared" si="12"/>
        <v>0</v>
      </c>
    </row>
    <row r="205" spans="1:14" x14ac:dyDescent="0.25">
      <c r="A205" s="8" t="s">
        <v>24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0">
        <f t="shared" si="12"/>
        <v>0</v>
      </c>
    </row>
    <row r="206" spans="1:14" x14ac:dyDescent="0.25">
      <c r="A206" s="5" t="s">
        <v>25</v>
      </c>
      <c r="B206" s="6">
        <v>2738.38</v>
      </c>
      <c r="C206" s="6">
        <v>2738.38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7">
        <f t="shared" si="12"/>
        <v>5476.76</v>
      </c>
    </row>
    <row r="207" spans="1:14" x14ac:dyDescent="0.25">
      <c r="A207" s="5" t="s">
        <v>26</v>
      </c>
      <c r="B207" s="6">
        <v>420</v>
      </c>
      <c r="C207" s="6">
        <v>420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7">
        <f t="shared" si="12"/>
        <v>840</v>
      </c>
    </row>
    <row r="208" spans="1:14" x14ac:dyDescent="0.25">
      <c r="A208" s="5" t="s">
        <v>27</v>
      </c>
      <c r="B208" s="6">
        <v>1100.22</v>
      </c>
      <c r="C208" s="6">
        <v>1100.22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7">
        <f t="shared" si="12"/>
        <v>2200.44</v>
      </c>
    </row>
    <row r="209" spans="1:15" x14ac:dyDescent="0.25">
      <c r="A209" s="5" t="s">
        <v>28</v>
      </c>
      <c r="B209" s="6">
        <v>5175.45</v>
      </c>
      <c r="C209" s="6">
        <v>5175.45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7">
        <f t="shared" si="12"/>
        <v>10350.9</v>
      </c>
    </row>
    <row r="211" spans="1:15" ht="15.75" x14ac:dyDescent="0.25">
      <c r="A211" s="2" t="s">
        <v>41</v>
      </c>
    </row>
    <row r="212" spans="1:15" x14ac:dyDescent="0.25">
      <c r="A212" s="3" t="s">
        <v>2</v>
      </c>
      <c r="B212" s="4" t="s">
        <v>3</v>
      </c>
      <c r="C212" s="4" t="s">
        <v>4</v>
      </c>
      <c r="D212" s="4" t="s">
        <v>5</v>
      </c>
      <c r="E212" s="4" t="s">
        <v>6</v>
      </c>
      <c r="F212" s="4" t="s">
        <v>7</v>
      </c>
      <c r="G212" s="4" t="s">
        <v>8</v>
      </c>
      <c r="H212" s="4" t="s">
        <v>9</v>
      </c>
      <c r="I212" s="4" t="s">
        <v>10</v>
      </c>
      <c r="J212" s="4" t="s">
        <v>11</v>
      </c>
      <c r="K212" s="4" t="s">
        <v>12</v>
      </c>
      <c r="L212" s="4" t="s">
        <v>13</v>
      </c>
      <c r="M212" s="4" t="s">
        <v>14</v>
      </c>
      <c r="N212" s="4" t="s">
        <v>15</v>
      </c>
    </row>
    <row r="213" spans="1:15" x14ac:dyDescent="0.25">
      <c r="A213" s="5" t="s">
        <v>16</v>
      </c>
      <c r="B213" s="6">
        <v>3775.94</v>
      </c>
      <c r="C213" s="6">
        <v>3775.94</v>
      </c>
      <c r="D213" s="6">
        <v>3775.94</v>
      </c>
      <c r="E213" s="6">
        <v>3775.94</v>
      </c>
      <c r="F213" s="6">
        <v>3775.94</v>
      </c>
      <c r="G213" s="6">
        <v>3775.94</v>
      </c>
      <c r="H213" s="6">
        <v>3775.94</v>
      </c>
      <c r="I213" s="6">
        <v>3775.94</v>
      </c>
      <c r="J213" s="6">
        <v>3775.94</v>
      </c>
      <c r="K213" s="6">
        <v>3775.94</v>
      </c>
      <c r="L213" s="6">
        <v>3775.94</v>
      </c>
      <c r="M213" s="6">
        <v>3775.94</v>
      </c>
      <c r="N213" s="7">
        <f t="shared" ref="N213:N225" si="13">SUM(B213:M213)</f>
        <v>45311.280000000006</v>
      </c>
    </row>
    <row r="214" spans="1:15" x14ac:dyDescent="0.25">
      <c r="A214" s="8" t="s">
        <v>17</v>
      </c>
      <c r="B214" s="9">
        <v>7866.55</v>
      </c>
      <c r="C214" s="9">
        <v>7866.55</v>
      </c>
      <c r="D214" s="9">
        <v>7866.55</v>
      </c>
      <c r="E214" s="9">
        <v>7866.55</v>
      </c>
      <c r="F214" s="9">
        <v>7866.55</v>
      </c>
      <c r="G214" s="9">
        <v>7866.55</v>
      </c>
      <c r="H214" s="9">
        <v>7866.55</v>
      </c>
      <c r="I214" s="9">
        <v>7866.55</v>
      </c>
      <c r="J214" s="9">
        <v>7866.55</v>
      </c>
      <c r="K214" s="9">
        <v>7866.55</v>
      </c>
      <c r="L214" s="9">
        <v>7866.55</v>
      </c>
      <c r="M214" s="9">
        <v>7866.55</v>
      </c>
      <c r="N214" s="10">
        <f t="shared" si="13"/>
        <v>94398.60000000002</v>
      </c>
    </row>
    <row r="215" spans="1:15" x14ac:dyDescent="0.25">
      <c r="A215" s="8" t="s">
        <v>18</v>
      </c>
      <c r="B215" s="9">
        <v>1101.32</v>
      </c>
      <c r="C215" s="9">
        <v>1101.32</v>
      </c>
      <c r="D215" s="9">
        <v>1101.32</v>
      </c>
      <c r="E215" s="9">
        <v>1101.32</v>
      </c>
      <c r="F215" s="9">
        <v>1101.32</v>
      </c>
      <c r="G215" s="9">
        <v>1101.32</v>
      </c>
      <c r="H215" s="9">
        <v>1101.32</v>
      </c>
      <c r="I215" s="9">
        <v>1101.32</v>
      </c>
      <c r="J215" s="9">
        <v>1101.32</v>
      </c>
      <c r="K215" s="9">
        <v>1101.32</v>
      </c>
      <c r="L215" s="9">
        <v>1101.32</v>
      </c>
      <c r="M215" s="9">
        <v>1101.32</v>
      </c>
      <c r="N215" s="10">
        <f t="shared" si="13"/>
        <v>13215.839999999998</v>
      </c>
    </row>
    <row r="216" spans="1:15" x14ac:dyDescent="0.25">
      <c r="A216" s="8" t="s">
        <v>19</v>
      </c>
      <c r="B216" s="9">
        <v>5892</v>
      </c>
      <c r="C216" s="9">
        <v>5792</v>
      </c>
      <c r="D216" s="9">
        <v>5992</v>
      </c>
      <c r="E216" s="9">
        <v>6072</v>
      </c>
      <c r="F216" s="9">
        <v>6072</v>
      </c>
      <c r="G216" s="9">
        <v>6072</v>
      </c>
      <c r="H216" s="9">
        <v>6072</v>
      </c>
      <c r="I216" s="9">
        <v>5992</v>
      </c>
      <c r="J216" s="9">
        <v>5992</v>
      </c>
      <c r="K216" s="9">
        <v>5832</v>
      </c>
      <c r="L216" s="9">
        <v>5992</v>
      </c>
      <c r="M216" s="9">
        <v>6312</v>
      </c>
      <c r="N216" s="10">
        <f t="shared" si="13"/>
        <v>72084</v>
      </c>
      <c r="O216" s="12">
        <f>SUM(H216:M217)</f>
        <v>36192</v>
      </c>
    </row>
    <row r="217" spans="1:15" x14ac:dyDescent="0.25">
      <c r="A217" s="8" t="s">
        <v>20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0">
        <f t="shared" si="13"/>
        <v>0</v>
      </c>
    </row>
    <row r="218" spans="1:15" x14ac:dyDescent="0.25">
      <c r="A218" s="8" t="s">
        <v>21</v>
      </c>
      <c r="B218" s="9">
        <v>3738.7</v>
      </c>
      <c r="C218" s="9">
        <v>3697.54</v>
      </c>
      <c r="D218" s="9">
        <v>3800.44</v>
      </c>
      <c r="E218" s="9">
        <v>3841.6</v>
      </c>
      <c r="F218" s="9">
        <v>3841.6</v>
      </c>
      <c r="G218" s="9">
        <v>3841.6</v>
      </c>
      <c r="H218" s="9">
        <v>3841.6</v>
      </c>
      <c r="I218" s="9">
        <v>4127.3</v>
      </c>
      <c r="J218" s="9">
        <v>4127.3</v>
      </c>
      <c r="K218" s="9">
        <v>4037.9</v>
      </c>
      <c r="L218" s="9">
        <v>4127.3</v>
      </c>
      <c r="M218" s="9">
        <v>4306.1000000000004</v>
      </c>
      <c r="N218" s="10">
        <f t="shared" si="13"/>
        <v>47328.98</v>
      </c>
      <c r="O218" s="12">
        <f>SUM(H218:M218)</f>
        <v>24567.5</v>
      </c>
    </row>
    <row r="219" spans="1:15" x14ac:dyDescent="0.25">
      <c r="A219" s="8" t="s">
        <v>22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0">
        <f t="shared" si="13"/>
        <v>0</v>
      </c>
    </row>
    <row r="220" spans="1:15" x14ac:dyDescent="0.25">
      <c r="A220" s="8" t="s">
        <v>23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0">
        <f t="shared" si="13"/>
        <v>0</v>
      </c>
    </row>
    <row r="221" spans="1:15" x14ac:dyDescent="0.25">
      <c r="A221" s="8" t="s">
        <v>24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0">
        <f t="shared" si="13"/>
        <v>0</v>
      </c>
    </row>
    <row r="222" spans="1:15" x14ac:dyDescent="0.25">
      <c r="A222" s="5" t="s">
        <v>25</v>
      </c>
      <c r="B222" s="6">
        <v>18598.57</v>
      </c>
      <c r="C222" s="6">
        <v>18457.41</v>
      </c>
      <c r="D222" s="6">
        <v>18760.310000000001</v>
      </c>
      <c r="E222" s="6">
        <v>18881.47</v>
      </c>
      <c r="F222" s="6">
        <v>18881.47</v>
      </c>
      <c r="G222" s="6">
        <v>18881.47</v>
      </c>
      <c r="H222" s="6">
        <v>18881.47</v>
      </c>
      <c r="I222" s="6">
        <v>19087.169999999998</v>
      </c>
      <c r="J222" s="6">
        <v>19087.169999999998</v>
      </c>
      <c r="K222" s="6">
        <v>18837.77</v>
      </c>
      <c r="L222" s="6">
        <v>19087.169999999998</v>
      </c>
      <c r="M222" s="6">
        <v>19585.97</v>
      </c>
      <c r="N222" s="7">
        <f t="shared" si="13"/>
        <v>227027.41999999995</v>
      </c>
    </row>
    <row r="223" spans="1:15" x14ac:dyDescent="0.25">
      <c r="A223" s="5" t="s">
        <v>26</v>
      </c>
      <c r="B223" s="6">
        <v>1740</v>
      </c>
      <c r="C223" s="6">
        <v>1740</v>
      </c>
      <c r="D223" s="6">
        <v>1800</v>
      </c>
      <c r="E223" s="6">
        <v>1800</v>
      </c>
      <c r="F223" s="6">
        <v>1800</v>
      </c>
      <c r="G223" s="6">
        <v>1800</v>
      </c>
      <c r="H223" s="6">
        <v>1800</v>
      </c>
      <c r="I223" s="6">
        <v>1740</v>
      </c>
      <c r="J223" s="6">
        <v>1740</v>
      </c>
      <c r="K223" s="6">
        <v>1740</v>
      </c>
      <c r="L223" s="6">
        <v>1740</v>
      </c>
      <c r="M223" s="6">
        <v>1800</v>
      </c>
      <c r="N223" s="7">
        <f t="shared" si="13"/>
        <v>21240</v>
      </c>
    </row>
    <row r="224" spans="1:15" x14ac:dyDescent="0.25">
      <c r="A224" s="5" t="s">
        <v>27</v>
      </c>
      <c r="B224" s="6">
        <v>3146.62</v>
      </c>
      <c r="C224" s="6">
        <v>3146.62</v>
      </c>
      <c r="D224" s="6">
        <v>3146.62</v>
      </c>
      <c r="E224" s="6">
        <v>3146.62</v>
      </c>
      <c r="F224" s="6">
        <v>3146.62</v>
      </c>
      <c r="G224" s="6">
        <v>3146.62</v>
      </c>
      <c r="H224" s="6">
        <v>3146.62</v>
      </c>
      <c r="I224" s="6">
        <v>3146.62</v>
      </c>
      <c r="J224" s="6">
        <v>3146.62</v>
      </c>
      <c r="K224" s="6">
        <v>3146.62</v>
      </c>
      <c r="L224" s="6">
        <v>3146.62</v>
      </c>
      <c r="M224" s="6">
        <v>3146.62</v>
      </c>
      <c r="N224" s="7">
        <f t="shared" si="13"/>
        <v>37759.439999999995</v>
      </c>
    </row>
    <row r="225" spans="1:15" x14ac:dyDescent="0.25">
      <c r="A225" s="5" t="s">
        <v>28</v>
      </c>
      <c r="B225" s="6">
        <v>27261.13</v>
      </c>
      <c r="C225" s="6">
        <v>27119.97</v>
      </c>
      <c r="D225" s="6">
        <v>27482.87</v>
      </c>
      <c r="E225" s="6">
        <v>27604.03</v>
      </c>
      <c r="F225" s="6">
        <v>8722.56</v>
      </c>
      <c r="G225" s="6">
        <v>12017.15</v>
      </c>
      <c r="H225" s="6">
        <v>27604.03</v>
      </c>
      <c r="I225" s="6">
        <v>27749.73</v>
      </c>
      <c r="J225" s="6">
        <v>7839.37</v>
      </c>
      <c r="K225" s="6">
        <v>27500.33</v>
      </c>
      <c r="L225" s="6">
        <v>27749.73</v>
      </c>
      <c r="M225" s="6">
        <v>28308.53</v>
      </c>
      <c r="N225" s="7">
        <f t="shared" si="13"/>
        <v>276959.43</v>
      </c>
    </row>
    <row r="227" spans="1:15" ht="15.75" x14ac:dyDescent="0.25">
      <c r="A227" s="2" t="s">
        <v>42</v>
      </c>
    </row>
    <row r="228" spans="1:15" x14ac:dyDescent="0.25">
      <c r="A228" s="3" t="s">
        <v>2</v>
      </c>
      <c r="B228" s="4" t="s">
        <v>3</v>
      </c>
      <c r="C228" s="4" t="s">
        <v>4</v>
      </c>
      <c r="D228" s="4" t="s">
        <v>5</v>
      </c>
      <c r="E228" s="4" t="s">
        <v>6</v>
      </c>
      <c r="F228" s="4" t="s">
        <v>7</v>
      </c>
      <c r="G228" s="4" t="s">
        <v>8</v>
      </c>
      <c r="H228" s="4" t="s">
        <v>9</v>
      </c>
      <c r="I228" s="4" t="s">
        <v>10</v>
      </c>
      <c r="J228" s="4" t="s">
        <v>11</v>
      </c>
      <c r="K228" s="4" t="s">
        <v>12</v>
      </c>
      <c r="L228" s="4" t="s">
        <v>13</v>
      </c>
      <c r="M228" s="4" t="s">
        <v>14</v>
      </c>
      <c r="N228" s="4" t="s">
        <v>15</v>
      </c>
    </row>
    <row r="229" spans="1:15" x14ac:dyDescent="0.25">
      <c r="A229" s="5" t="s">
        <v>16</v>
      </c>
      <c r="B229" s="6">
        <v>52.44</v>
      </c>
      <c r="C229" s="6">
        <v>52.44</v>
      </c>
      <c r="D229" s="6">
        <v>52.44</v>
      </c>
      <c r="E229" s="6">
        <v>52.44</v>
      </c>
      <c r="F229" s="6">
        <v>52.44</v>
      </c>
      <c r="G229" s="6">
        <v>52.44</v>
      </c>
      <c r="H229" s="6">
        <v>52.44</v>
      </c>
      <c r="I229" s="6">
        <v>52.44</v>
      </c>
      <c r="J229" s="6">
        <v>52.44</v>
      </c>
      <c r="K229" s="6">
        <v>52.44</v>
      </c>
      <c r="L229" s="6">
        <v>52.44</v>
      </c>
      <c r="M229" s="6">
        <v>52.44</v>
      </c>
      <c r="N229" s="7">
        <f t="shared" ref="N229:N241" si="14">SUM(B229:M229)</f>
        <v>629.28</v>
      </c>
    </row>
    <row r="230" spans="1:15" x14ac:dyDescent="0.25">
      <c r="A230" s="8" t="s">
        <v>17</v>
      </c>
      <c r="B230" s="9">
        <v>109.25</v>
      </c>
      <c r="C230" s="9">
        <v>109.25</v>
      </c>
      <c r="D230" s="9">
        <v>109.25</v>
      </c>
      <c r="E230" s="9">
        <v>109.25</v>
      </c>
      <c r="F230" s="9">
        <v>109.25</v>
      </c>
      <c r="G230" s="9">
        <v>109.25</v>
      </c>
      <c r="H230" s="9">
        <v>109.25</v>
      </c>
      <c r="I230" s="9">
        <v>109.25</v>
      </c>
      <c r="J230" s="9">
        <v>109.25</v>
      </c>
      <c r="K230" s="9">
        <v>109.25</v>
      </c>
      <c r="L230" s="9">
        <v>109.25</v>
      </c>
      <c r="M230" s="9">
        <v>109.25</v>
      </c>
      <c r="N230" s="10">
        <f t="shared" si="14"/>
        <v>1311</v>
      </c>
    </row>
    <row r="231" spans="1:15" x14ac:dyDescent="0.25">
      <c r="A231" s="8" t="s">
        <v>18</v>
      </c>
      <c r="B231" s="9">
        <v>15.3</v>
      </c>
      <c r="C231" s="9">
        <v>15.3</v>
      </c>
      <c r="D231" s="9">
        <v>15.3</v>
      </c>
      <c r="E231" s="9">
        <v>15.3</v>
      </c>
      <c r="F231" s="9">
        <v>15.3</v>
      </c>
      <c r="G231" s="9">
        <v>15.3</v>
      </c>
      <c r="H231" s="9">
        <v>15.3</v>
      </c>
      <c r="I231" s="9">
        <v>15.3</v>
      </c>
      <c r="J231" s="9">
        <v>15.3</v>
      </c>
      <c r="K231" s="9">
        <v>15.3</v>
      </c>
      <c r="L231" s="9">
        <v>15.3</v>
      </c>
      <c r="M231" s="9">
        <v>15.3</v>
      </c>
      <c r="N231" s="10">
        <f t="shared" si="14"/>
        <v>183.60000000000002</v>
      </c>
    </row>
    <row r="232" spans="1:15" x14ac:dyDescent="0.25">
      <c r="A232" s="8" t="s">
        <v>19</v>
      </c>
      <c r="B232" s="9">
        <v>80</v>
      </c>
      <c r="C232" s="9">
        <v>80</v>
      </c>
      <c r="D232" s="9">
        <v>80</v>
      </c>
      <c r="E232" s="9">
        <v>80</v>
      </c>
      <c r="F232" s="9">
        <v>80</v>
      </c>
      <c r="G232" s="9">
        <v>80</v>
      </c>
      <c r="H232" s="9">
        <v>80</v>
      </c>
      <c r="I232" s="9">
        <v>80</v>
      </c>
      <c r="J232" s="9">
        <v>80</v>
      </c>
      <c r="K232" s="9">
        <v>80</v>
      </c>
      <c r="L232" s="9">
        <v>80</v>
      </c>
      <c r="M232" s="9">
        <v>80</v>
      </c>
      <c r="N232" s="10">
        <f t="shared" si="14"/>
        <v>960</v>
      </c>
      <c r="O232" s="12">
        <f>SUM(H232:M232)</f>
        <v>480</v>
      </c>
    </row>
    <row r="233" spans="1:15" x14ac:dyDescent="0.25">
      <c r="A233" s="8" t="s">
        <v>20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0">
        <f t="shared" si="14"/>
        <v>0</v>
      </c>
    </row>
    <row r="234" spans="1:15" x14ac:dyDescent="0.25">
      <c r="A234" s="8" t="s">
        <v>21</v>
      </c>
      <c r="B234" s="9">
        <v>10.86</v>
      </c>
      <c r="C234" s="9">
        <v>10.86</v>
      </c>
      <c r="D234" s="9">
        <v>10.86</v>
      </c>
      <c r="E234" s="9">
        <v>10.86</v>
      </c>
      <c r="F234" s="9">
        <v>10.86</v>
      </c>
      <c r="G234" s="9">
        <v>10.86</v>
      </c>
      <c r="H234" s="9">
        <v>10.86</v>
      </c>
      <c r="I234" s="9">
        <v>11.8</v>
      </c>
      <c r="J234" s="9">
        <v>11.8</v>
      </c>
      <c r="K234" s="9">
        <v>11.8</v>
      </c>
      <c r="L234" s="9">
        <v>11.8</v>
      </c>
      <c r="M234" s="9">
        <v>11.8</v>
      </c>
      <c r="N234" s="10">
        <f t="shared" si="14"/>
        <v>135.01999999999998</v>
      </c>
      <c r="O234" s="12">
        <f>SUM(H234:M234)</f>
        <v>69.86</v>
      </c>
    </row>
    <row r="235" spans="1:15" x14ac:dyDescent="0.25">
      <c r="A235" s="8" t="s">
        <v>22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0">
        <f t="shared" si="14"/>
        <v>0</v>
      </c>
    </row>
    <row r="236" spans="1:15" x14ac:dyDescent="0.25">
      <c r="A236" s="8" t="s">
        <v>23</v>
      </c>
      <c r="B236" s="9">
        <v>16.579999999999998</v>
      </c>
      <c r="C236" s="9">
        <v>16.579999999999998</v>
      </c>
      <c r="D236" s="9">
        <v>16.579999999999998</v>
      </c>
      <c r="E236" s="9">
        <v>16.579999999999998</v>
      </c>
      <c r="F236" s="9">
        <v>16.579999999999998</v>
      </c>
      <c r="G236" s="9">
        <v>16.579999999999998</v>
      </c>
      <c r="H236" s="9">
        <v>16.579999999999998</v>
      </c>
      <c r="I236" s="9">
        <v>18</v>
      </c>
      <c r="J236" s="9">
        <v>18</v>
      </c>
      <c r="K236" s="9">
        <v>18</v>
      </c>
      <c r="L236" s="9">
        <v>18</v>
      </c>
      <c r="M236" s="9">
        <v>18</v>
      </c>
      <c r="N236" s="10">
        <f t="shared" si="14"/>
        <v>206.06</v>
      </c>
      <c r="O236" s="12">
        <f>SUM(H236:M236)</f>
        <v>106.58</v>
      </c>
    </row>
    <row r="237" spans="1:15" x14ac:dyDescent="0.25">
      <c r="A237" s="8" t="s">
        <v>24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0">
        <f t="shared" si="14"/>
        <v>0</v>
      </c>
      <c r="O237" s="12">
        <f>O236+O234</f>
        <v>176.44</v>
      </c>
    </row>
    <row r="238" spans="1:15" x14ac:dyDescent="0.25">
      <c r="A238" s="5" t="s">
        <v>25</v>
      </c>
      <c r="B238" s="6">
        <v>231.99</v>
      </c>
      <c r="C238" s="6">
        <v>231.99</v>
      </c>
      <c r="D238" s="6">
        <v>231.99</v>
      </c>
      <c r="E238" s="6">
        <v>231.99</v>
      </c>
      <c r="F238" s="6">
        <v>231.99</v>
      </c>
      <c r="G238" s="6">
        <v>231.99</v>
      </c>
      <c r="H238" s="6">
        <v>231.99</v>
      </c>
      <c r="I238" s="6">
        <v>234.35</v>
      </c>
      <c r="J238" s="6">
        <v>234.35</v>
      </c>
      <c r="K238" s="6">
        <v>545.66</v>
      </c>
      <c r="L238" s="6">
        <v>234.35</v>
      </c>
      <c r="M238" s="6">
        <v>234.35</v>
      </c>
      <c r="N238" s="7">
        <f t="shared" si="14"/>
        <v>3106.99</v>
      </c>
    </row>
    <row r="239" spans="1:15" x14ac:dyDescent="0.25">
      <c r="A239" s="5" t="s">
        <v>26</v>
      </c>
      <c r="B239" s="6">
        <v>36.880000000000003</v>
      </c>
      <c r="C239" s="6">
        <v>36.880000000000003</v>
      </c>
      <c r="D239" s="6">
        <v>36.880000000000003</v>
      </c>
      <c r="E239" s="6">
        <v>36.880000000000003</v>
      </c>
      <c r="F239" s="6">
        <v>36.880000000000003</v>
      </c>
      <c r="G239" s="6">
        <v>36.880000000000003</v>
      </c>
      <c r="H239" s="6">
        <v>36.880000000000003</v>
      </c>
      <c r="I239" s="6">
        <v>36.880000000000003</v>
      </c>
      <c r="J239" s="6">
        <v>36.880000000000003</v>
      </c>
      <c r="K239" s="13">
        <v>4038.36</v>
      </c>
      <c r="L239" s="6">
        <v>165.96</v>
      </c>
      <c r="M239" s="6">
        <v>165.96</v>
      </c>
      <c r="N239" s="7">
        <f t="shared" si="14"/>
        <v>4702.2</v>
      </c>
      <c r="O239" t="s">
        <v>63</v>
      </c>
    </row>
    <row r="240" spans="1:15" x14ac:dyDescent="0.25">
      <c r="A240" s="5" t="s">
        <v>27</v>
      </c>
      <c r="B240" s="6">
        <v>43.7</v>
      </c>
      <c r="C240" s="6">
        <v>43.7</v>
      </c>
      <c r="D240" s="6">
        <v>43.7</v>
      </c>
      <c r="E240" s="6">
        <v>43.7</v>
      </c>
      <c r="F240" s="6">
        <v>43.7</v>
      </c>
      <c r="G240" s="6">
        <v>43.7</v>
      </c>
      <c r="H240" s="6">
        <v>43.7</v>
      </c>
      <c r="I240" s="6">
        <v>43.7</v>
      </c>
      <c r="J240" s="6">
        <v>43.7</v>
      </c>
      <c r="K240" s="6">
        <v>43.7</v>
      </c>
      <c r="L240" s="6">
        <v>43.7</v>
      </c>
      <c r="M240" s="6">
        <v>43.7</v>
      </c>
      <c r="N240" s="7">
        <f t="shared" si="14"/>
        <v>524.4</v>
      </c>
    </row>
    <row r="241" spans="1:15" x14ac:dyDescent="0.25">
      <c r="A241" s="5" t="s">
        <v>28</v>
      </c>
      <c r="B241" s="6">
        <v>365.01</v>
      </c>
      <c r="C241" s="6">
        <v>365.01</v>
      </c>
      <c r="D241" s="6">
        <v>365.01</v>
      </c>
      <c r="E241" s="6">
        <v>365.01</v>
      </c>
      <c r="F241" s="6">
        <v>301.61</v>
      </c>
      <c r="G241" s="6">
        <v>365.01</v>
      </c>
      <c r="H241" s="6">
        <v>365.01</v>
      </c>
      <c r="I241" s="6">
        <v>367.37</v>
      </c>
      <c r="J241" s="6">
        <v>367.37</v>
      </c>
      <c r="K241" s="6">
        <v>4680.16</v>
      </c>
      <c r="L241" s="6">
        <v>496.45</v>
      </c>
      <c r="M241" s="6">
        <v>496.45</v>
      </c>
      <c r="N241" s="7">
        <f t="shared" si="14"/>
        <v>8899.4700000000012</v>
      </c>
    </row>
    <row r="243" spans="1:15" ht="15.75" x14ac:dyDescent="0.25">
      <c r="A243" s="2" t="s">
        <v>43</v>
      </c>
    </row>
    <row r="244" spans="1:15" x14ac:dyDescent="0.25">
      <c r="A244" s="3" t="s">
        <v>2</v>
      </c>
      <c r="B244" s="4" t="s">
        <v>3</v>
      </c>
      <c r="C244" s="4" t="s">
        <v>4</v>
      </c>
      <c r="D244" s="4" t="s">
        <v>5</v>
      </c>
      <c r="E244" s="4" t="s">
        <v>6</v>
      </c>
      <c r="F244" s="4" t="s">
        <v>7</v>
      </c>
      <c r="G244" s="4" t="s">
        <v>8</v>
      </c>
      <c r="H244" s="4" t="s">
        <v>9</v>
      </c>
      <c r="I244" s="4" t="s">
        <v>10</v>
      </c>
      <c r="J244" s="4" t="s">
        <v>11</v>
      </c>
      <c r="K244" s="4" t="s">
        <v>12</v>
      </c>
      <c r="L244" s="4" t="s">
        <v>13</v>
      </c>
      <c r="M244" s="4" t="s">
        <v>14</v>
      </c>
      <c r="N244" s="4" t="s">
        <v>15</v>
      </c>
    </row>
    <row r="245" spans="1:15" x14ac:dyDescent="0.25">
      <c r="A245" s="5" t="s">
        <v>16</v>
      </c>
      <c r="B245" s="6">
        <v>263.91000000000003</v>
      </c>
      <c r="C245" s="6">
        <v>263.91000000000003</v>
      </c>
      <c r="D245" s="6">
        <v>263.91000000000003</v>
      </c>
      <c r="E245" s="6">
        <v>263.91000000000003</v>
      </c>
      <c r="F245" s="6">
        <v>263.91000000000003</v>
      </c>
      <c r="G245" s="6">
        <v>263.91000000000003</v>
      </c>
      <c r="H245" s="6">
        <v>263.91000000000003</v>
      </c>
      <c r="I245" s="6">
        <v>263.91000000000003</v>
      </c>
      <c r="J245" s="6">
        <v>263.91000000000003</v>
      </c>
      <c r="K245" s="6">
        <v>263.91000000000003</v>
      </c>
      <c r="L245" s="6">
        <v>263.91000000000003</v>
      </c>
      <c r="M245" s="6">
        <v>263.91000000000003</v>
      </c>
      <c r="N245" s="7">
        <f t="shared" ref="N245:N257" si="15">SUM(B245:M245)</f>
        <v>3166.9199999999996</v>
      </c>
    </row>
    <row r="246" spans="1:15" x14ac:dyDescent="0.25">
      <c r="A246" s="8" t="s">
        <v>17</v>
      </c>
      <c r="B246" s="9">
        <v>779.74</v>
      </c>
      <c r="C246" s="9">
        <v>779.74</v>
      </c>
      <c r="D246" s="9">
        <v>779.74</v>
      </c>
      <c r="E246" s="9">
        <v>779.74</v>
      </c>
      <c r="F246" s="9">
        <v>779.74</v>
      </c>
      <c r="G246" s="9">
        <v>779.74</v>
      </c>
      <c r="H246" s="9">
        <v>779.74</v>
      </c>
      <c r="I246" s="9">
        <v>779.74</v>
      </c>
      <c r="J246" s="9">
        <v>779.74</v>
      </c>
      <c r="K246" s="9">
        <v>779.74</v>
      </c>
      <c r="L246" s="9">
        <v>779.74</v>
      </c>
      <c r="M246" s="9">
        <v>779.74</v>
      </c>
      <c r="N246" s="10">
        <f t="shared" si="15"/>
        <v>9356.8799999999992</v>
      </c>
    </row>
    <row r="247" spans="1:15" x14ac:dyDescent="0.25">
      <c r="A247" s="8" t="s">
        <v>18</v>
      </c>
      <c r="B247" s="9">
        <v>119.96</v>
      </c>
      <c r="C247" s="9">
        <v>119.96</v>
      </c>
      <c r="D247" s="9">
        <v>119.96</v>
      </c>
      <c r="E247" s="9">
        <v>119.96</v>
      </c>
      <c r="F247" s="9">
        <v>119.96</v>
      </c>
      <c r="G247" s="9">
        <v>119.96</v>
      </c>
      <c r="H247" s="9">
        <v>119.96</v>
      </c>
      <c r="I247" s="9">
        <v>119.96</v>
      </c>
      <c r="J247" s="9">
        <v>119.96</v>
      </c>
      <c r="K247" s="9">
        <v>119.96</v>
      </c>
      <c r="L247" s="9">
        <v>119.96</v>
      </c>
      <c r="M247" s="9">
        <v>119.96</v>
      </c>
      <c r="N247" s="10">
        <f t="shared" si="15"/>
        <v>1439.5200000000002</v>
      </c>
    </row>
    <row r="248" spans="1:15" x14ac:dyDescent="0.25">
      <c r="A248" s="8" t="s">
        <v>19</v>
      </c>
      <c r="B248" s="9">
        <v>630</v>
      </c>
      <c r="C248" s="9">
        <v>630</v>
      </c>
      <c r="D248" s="9">
        <v>630</v>
      </c>
      <c r="E248" s="9">
        <v>630</v>
      </c>
      <c r="F248" s="9">
        <v>270</v>
      </c>
      <c r="G248" s="9">
        <v>270</v>
      </c>
      <c r="H248" s="9">
        <v>270</v>
      </c>
      <c r="I248" s="9">
        <v>270</v>
      </c>
      <c r="J248" s="9">
        <v>270</v>
      </c>
      <c r="K248" s="9">
        <v>270</v>
      </c>
      <c r="L248" s="9">
        <v>270</v>
      </c>
      <c r="M248" s="9">
        <v>270</v>
      </c>
      <c r="N248" s="10">
        <f t="shared" si="15"/>
        <v>4680</v>
      </c>
      <c r="O248" s="12">
        <f>SUM(H248:M248)</f>
        <v>1620</v>
      </c>
    </row>
    <row r="249" spans="1:15" x14ac:dyDescent="0.25">
      <c r="A249" s="8" t="s">
        <v>20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0">
        <f t="shared" si="15"/>
        <v>0</v>
      </c>
    </row>
    <row r="250" spans="1:15" x14ac:dyDescent="0.25">
      <c r="A250" s="8" t="s">
        <v>21</v>
      </c>
      <c r="B250" s="9">
        <v>384.16</v>
      </c>
      <c r="C250" s="9">
        <v>384.16</v>
      </c>
      <c r="D250" s="9">
        <v>384.16</v>
      </c>
      <c r="E250" s="9">
        <v>384.16</v>
      </c>
      <c r="F250" s="9">
        <v>164.64</v>
      </c>
      <c r="G250" s="9">
        <v>164.64</v>
      </c>
      <c r="H250" s="9">
        <v>164.64</v>
      </c>
      <c r="I250" s="9">
        <v>178.8</v>
      </c>
      <c r="J250" s="9">
        <v>178.8</v>
      </c>
      <c r="K250" s="9">
        <v>178.8</v>
      </c>
      <c r="L250" s="9">
        <v>178.8</v>
      </c>
      <c r="M250" s="9">
        <v>178.8</v>
      </c>
      <c r="N250" s="10">
        <f t="shared" si="15"/>
        <v>2924.5600000000009</v>
      </c>
      <c r="O250" s="12">
        <f>SUM(H250:M250)</f>
        <v>1058.6399999999999</v>
      </c>
    </row>
    <row r="251" spans="1:15" x14ac:dyDescent="0.25">
      <c r="A251" s="8" t="s">
        <v>22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>
        <f t="shared" si="15"/>
        <v>0</v>
      </c>
    </row>
    <row r="252" spans="1:15" x14ac:dyDescent="0.25">
      <c r="A252" s="8" t="s">
        <v>23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0">
        <f t="shared" si="15"/>
        <v>0</v>
      </c>
    </row>
    <row r="253" spans="1:15" x14ac:dyDescent="0.25">
      <c r="A253" s="8" t="s">
        <v>24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0">
        <f t="shared" si="15"/>
        <v>0</v>
      </c>
    </row>
    <row r="254" spans="1:15" x14ac:dyDescent="0.25">
      <c r="A254" s="5" t="s">
        <v>25</v>
      </c>
      <c r="B254" s="6">
        <v>1913.86</v>
      </c>
      <c r="C254" s="6">
        <v>1913.86</v>
      </c>
      <c r="D254" s="6">
        <v>1913.86</v>
      </c>
      <c r="E254" s="6">
        <v>1913.86</v>
      </c>
      <c r="F254" s="6">
        <v>1334.34</v>
      </c>
      <c r="G254" s="6">
        <v>1334.34</v>
      </c>
      <c r="H254" s="6">
        <v>1334.34</v>
      </c>
      <c r="I254" s="6">
        <v>1348.5</v>
      </c>
      <c r="J254" s="6">
        <v>1348.5</v>
      </c>
      <c r="K254" s="6">
        <v>-623.79</v>
      </c>
      <c r="L254" s="6">
        <v>1309.3499999999999</v>
      </c>
      <c r="M254" s="6">
        <v>1348.5</v>
      </c>
      <c r="N254" s="7">
        <f t="shared" si="15"/>
        <v>16389.519999999997</v>
      </c>
    </row>
    <row r="255" spans="1:15" x14ac:dyDescent="0.25">
      <c r="A255" s="5" t="s">
        <v>26</v>
      </c>
      <c r="B255" s="6">
        <v>180</v>
      </c>
      <c r="C255" s="6">
        <v>180</v>
      </c>
      <c r="D255" s="6">
        <v>180</v>
      </c>
      <c r="E255" s="6">
        <v>180</v>
      </c>
      <c r="F255" s="6">
        <v>120</v>
      </c>
      <c r="G255" s="6">
        <v>120</v>
      </c>
      <c r="H255" s="6">
        <v>120</v>
      </c>
      <c r="I255" s="6">
        <v>120</v>
      </c>
      <c r="J255" s="6">
        <v>120</v>
      </c>
      <c r="K255" s="6">
        <v>120</v>
      </c>
      <c r="L255" s="6">
        <v>120</v>
      </c>
      <c r="M255" s="6">
        <v>120</v>
      </c>
      <c r="N255" s="7">
        <f t="shared" si="15"/>
        <v>1680</v>
      </c>
    </row>
    <row r="256" spans="1:15" x14ac:dyDescent="0.25">
      <c r="A256" s="5" t="s">
        <v>27</v>
      </c>
      <c r="B256" s="6">
        <v>359.88</v>
      </c>
      <c r="C256" s="6">
        <v>359.88</v>
      </c>
      <c r="D256" s="6">
        <v>359.88</v>
      </c>
      <c r="E256" s="6">
        <v>359.88</v>
      </c>
      <c r="F256" s="6">
        <v>359.88</v>
      </c>
      <c r="G256" s="6">
        <v>359.88</v>
      </c>
      <c r="H256" s="6">
        <v>359.88</v>
      </c>
      <c r="I256" s="6">
        <v>359.88</v>
      </c>
      <c r="J256" s="6">
        <v>359.88</v>
      </c>
      <c r="K256" s="6">
        <v>359.88</v>
      </c>
      <c r="L256" s="6">
        <v>359.88</v>
      </c>
      <c r="M256" s="6">
        <v>359.88</v>
      </c>
      <c r="N256" s="7">
        <f t="shared" si="15"/>
        <v>4318.5600000000004</v>
      </c>
    </row>
    <row r="257" spans="1:14" x14ac:dyDescent="0.25">
      <c r="A257" s="5" t="s">
        <v>28</v>
      </c>
      <c r="B257" s="6">
        <v>2717.65</v>
      </c>
      <c r="C257" s="6">
        <v>2717.65</v>
      </c>
      <c r="D257" s="6">
        <v>2717.65</v>
      </c>
      <c r="E257" s="6">
        <v>2717.65</v>
      </c>
      <c r="F257" s="6">
        <v>120</v>
      </c>
      <c r="G257" s="6">
        <v>809.7</v>
      </c>
      <c r="H257" s="6">
        <v>2078.13</v>
      </c>
      <c r="I257" s="6">
        <v>2092.29</v>
      </c>
      <c r="J257" s="6">
        <v>120</v>
      </c>
      <c r="K257" s="6">
        <v>120</v>
      </c>
      <c r="L257" s="6">
        <v>2053.14</v>
      </c>
      <c r="M257" s="6">
        <v>2092.29</v>
      </c>
      <c r="N257" s="7">
        <f t="shared" si="15"/>
        <v>20356.150000000001</v>
      </c>
    </row>
    <row r="259" spans="1:14" ht="15.75" x14ac:dyDescent="0.25">
      <c r="A259" s="2" t="s">
        <v>44</v>
      </c>
    </row>
    <row r="260" spans="1:14" x14ac:dyDescent="0.25">
      <c r="A260" s="3" t="s">
        <v>2</v>
      </c>
      <c r="B260" s="4" t="s">
        <v>3</v>
      </c>
      <c r="C260" s="4" t="s">
        <v>4</v>
      </c>
      <c r="D260" s="4" t="s">
        <v>5</v>
      </c>
      <c r="E260" s="4" t="s">
        <v>6</v>
      </c>
      <c r="F260" s="4" t="s">
        <v>7</v>
      </c>
      <c r="G260" s="4" t="s">
        <v>8</v>
      </c>
      <c r="H260" s="4" t="s">
        <v>9</v>
      </c>
      <c r="I260" s="4" t="s">
        <v>10</v>
      </c>
      <c r="J260" s="4" t="s">
        <v>11</v>
      </c>
      <c r="K260" s="4" t="s">
        <v>12</v>
      </c>
      <c r="L260" s="4" t="s">
        <v>13</v>
      </c>
      <c r="M260" s="4" t="s">
        <v>14</v>
      </c>
      <c r="N260" s="4" t="s">
        <v>15</v>
      </c>
    </row>
    <row r="261" spans="1:14" x14ac:dyDescent="0.25">
      <c r="A261" s="5" t="s">
        <v>16</v>
      </c>
      <c r="B261" s="6">
        <v>686.33</v>
      </c>
      <c r="C261" s="6">
        <v>686.33</v>
      </c>
      <c r="D261" s="6">
        <v>686.33</v>
      </c>
      <c r="E261" s="6">
        <v>686.33</v>
      </c>
      <c r="F261" s="6">
        <v>686.33</v>
      </c>
      <c r="G261" s="6">
        <v>686.33</v>
      </c>
      <c r="H261" s="6">
        <v>686.33</v>
      </c>
      <c r="I261" s="6">
        <v>686.33</v>
      </c>
      <c r="J261" s="6">
        <v>686.33</v>
      </c>
      <c r="K261" s="6">
        <v>686.33</v>
      </c>
      <c r="L261" s="6">
        <v>686.33</v>
      </c>
      <c r="M261" s="6">
        <v>686.33</v>
      </c>
      <c r="N261" s="7">
        <f t="shared" ref="N261:N273" si="16">SUM(B261:M261)</f>
        <v>8235.9600000000009</v>
      </c>
    </row>
    <row r="262" spans="1:14" x14ac:dyDescent="0.25">
      <c r="A262" s="8" t="s">
        <v>17</v>
      </c>
      <c r="B262" s="9">
        <v>1647.18</v>
      </c>
      <c r="C262" s="9">
        <v>1647.18</v>
      </c>
      <c r="D262" s="9">
        <v>1647.18</v>
      </c>
      <c r="E262" s="9">
        <v>1647.18</v>
      </c>
      <c r="F262" s="9">
        <v>1647.18</v>
      </c>
      <c r="G262" s="9">
        <v>1647.18</v>
      </c>
      <c r="H262" s="9">
        <v>1647.18</v>
      </c>
      <c r="I262" s="9">
        <v>1647.18</v>
      </c>
      <c r="J262" s="9">
        <v>1647.18</v>
      </c>
      <c r="K262" s="9">
        <v>1647.18</v>
      </c>
      <c r="L262" s="9">
        <v>1647.18</v>
      </c>
      <c r="M262" s="9">
        <v>1647.18</v>
      </c>
      <c r="N262" s="10">
        <f t="shared" si="16"/>
        <v>19766.16</v>
      </c>
    </row>
    <row r="263" spans="1:14" x14ac:dyDescent="0.25">
      <c r="A263" s="8" t="s">
        <v>18</v>
      </c>
      <c r="B263" s="9">
        <v>192.17</v>
      </c>
      <c r="C263" s="9">
        <v>192.17</v>
      </c>
      <c r="D263" s="9">
        <v>192.17</v>
      </c>
      <c r="E263" s="9">
        <v>192.17</v>
      </c>
      <c r="F263" s="9">
        <v>192.17</v>
      </c>
      <c r="G263" s="9">
        <v>192.17</v>
      </c>
      <c r="H263" s="9">
        <v>192.17</v>
      </c>
      <c r="I263" s="9">
        <v>192.17</v>
      </c>
      <c r="J263" s="9">
        <v>192.17</v>
      </c>
      <c r="K263" s="9">
        <v>192.17</v>
      </c>
      <c r="L263" s="9">
        <v>192.17</v>
      </c>
      <c r="M263" s="9">
        <v>192.17</v>
      </c>
      <c r="N263" s="10">
        <f t="shared" si="16"/>
        <v>2306.0400000000004</v>
      </c>
    </row>
    <row r="264" spans="1:14" x14ac:dyDescent="0.25">
      <c r="A264" s="8" t="s">
        <v>19</v>
      </c>
      <c r="B264" s="9">
        <v>780</v>
      </c>
      <c r="C264" s="9">
        <v>780</v>
      </c>
      <c r="D264" s="9">
        <v>780</v>
      </c>
      <c r="E264" s="9">
        <v>780</v>
      </c>
      <c r="F264" s="9">
        <v>780</v>
      </c>
      <c r="G264" s="9">
        <v>780</v>
      </c>
      <c r="H264" s="9">
        <v>780</v>
      </c>
      <c r="I264" s="9">
        <v>780</v>
      </c>
      <c r="J264" s="9">
        <v>780</v>
      </c>
      <c r="K264" s="9">
        <v>780</v>
      </c>
      <c r="L264" s="9">
        <v>700</v>
      </c>
      <c r="M264" s="9">
        <v>640</v>
      </c>
      <c r="N264" s="10">
        <f t="shared" si="16"/>
        <v>9140</v>
      </c>
    </row>
    <row r="265" spans="1:14" x14ac:dyDescent="0.25">
      <c r="A265" s="8" t="s">
        <v>20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0">
        <f t="shared" si="16"/>
        <v>0</v>
      </c>
    </row>
    <row r="266" spans="1:14" x14ac:dyDescent="0.25">
      <c r="A266" s="8" t="s">
        <v>21</v>
      </c>
      <c r="B266" s="9">
        <v>507.64</v>
      </c>
      <c r="C266" s="9">
        <v>507.64</v>
      </c>
      <c r="D266" s="9">
        <v>507.64</v>
      </c>
      <c r="E266" s="9">
        <v>507.64</v>
      </c>
      <c r="F266" s="9">
        <v>507.64</v>
      </c>
      <c r="G266" s="9">
        <v>507.64</v>
      </c>
      <c r="H266" s="9">
        <v>507.64</v>
      </c>
      <c r="I266" s="9">
        <v>551.29999999999995</v>
      </c>
      <c r="J266" s="9">
        <v>551.29999999999995</v>
      </c>
      <c r="K266" s="9">
        <v>551.29999999999995</v>
      </c>
      <c r="L266" s="9">
        <v>499.15</v>
      </c>
      <c r="M266" s="9">
        <v>447</v>
      </c>
      <c r="N266" s="10">
        <f t="shared" si="16"/>
        <v>6153.53</v>
      </c>
    </row>
    <row r="267" spans="1:14" x14ac:dyDescent="0.25">
      <c r="A267" s="8" t="s">
        <v>22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0">
        <f t="shared" si="16"/>
        <v>0</v>
      </c>
    </row>
    <row r="268" spans="1:14" x14ac:dyDescent="0.25">
      <c r="A268" s="8" t="s">
        <v>23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>
        <f t="shared" si="16"/>
        <v>0</v>
      </c>
    </row>
    <row r="269" spans="1:14" x14ac:dyDescent="0.25">
      <c r="A269" s="8" t="s">
        <v>24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0">
        <f t="shared" si="16"/>
        <v>0</v>
      </c>
    </row>
    <row r="270" spans="1:14" x14ac:dyDescent="0.25">
      <c r="A270" s="5" t="s">
        <v>25</v>
      </c>
      <c r="B270" s="6">
        <v>3126.99</v>
      </c>
      <c r="C270" s="6">
        <v>3126.99</v>
      </c>
      <c r="D270" s="6">
        <v>3126.99</v>
      </c>
      <c r="E270" s="6">
        <v>3126.99</v>
      </c>
      <c r="F270" s="6">
        <v>3126.99</v>
      </c>
      <c r="G270" s="6">
        <v>3126.99</v>
      </c>
      <c r="H270" s="6">
        <v>3126.99</v>
      </c>
      <c r="I270" s="6">
        <v>3169.11</v>
      </c>
      <c r="J270" s="6">
        <v>3170.65</v>
      </c>
      <c r="K270" s="6">
        <v>3170.65</v>
      </c>
      <c r="L270" s="6">
        <v>3038.5</v>
      </c>
      <c r="M270" s="6">
        <v>2926.35</v>
      </c>
      <c r="N270" s="7">
        <f t="shared" si="16"/>
        <v>37364.19</v>
      </c>
    </row>
    <row r="271" spans="1:14" x14ac:dyDescent="0.25">
      <c r="A271" s="5" t="s">
        <v>26</v>
      </c>
      <c r="B271" s="6">
        <v>360</v>
      </c>
      <c r="C271" s="6">
        <v>360</v>
      </c>
      <c r="D271" s="6">
        <v>360</v>
      </c>
      <c r="E271" s="6">
        <v>360</v>
      </c>
      <c r="F271" s="6">
        <v>360</v>
      </c>
      <c r="G271" s="6">
        <v>360</v>
      </c>
      <c r="H271" s="6">
        <v>360</v>
      </c>
      <c r="I271" s="6">
        <v>360</v>
      </c>
      <c r="J271" s="6">
        <v>360</v>
      </c>
      <c r="K271" s="6">
        <v>360</v>
      </c>
      <c r="L271" s="6">
        <v>360</v>
      </c>
      <c r="M271" s="6">
        <v>360</v>
      </c>
      <c r="N271" s="7">
        <f t="shared" si="16"/>
        <v>4320</v>
      </c>
    </row>
    <row r="272" spans="1:14" x14ac:dyDescent="0.25">
      <c r="A272" s="5" t="s">
        <v>27</v>
      </c>
      <c r="B272" s="6">
        <v>1098.1199999999999</v>
      </c>
      <c r="C272" s="6">
        <v>1098.1199999999999</v>
      </c>
      <c r="D272" s="6">
        <v>1098.1199999999999</v>
      </c>
      <c r="E272" s="6">
        <v>1098.1199999999999</v>
      </c>
      <c r="F272" s="6">
        <v>1098.1199999999999</v>
      </c>
      <c r="G272" s="6">
        <v>1098.1199999999999</v>
      </c>
      <c r="H272" s="6">
        <v>1098.1199999999999</v>
      </c>
      <c r="I272" s="6">
        <v>1098.1199999999999</v>
      </c>
      <c r="J272" s="6">
        <v>1098.1199999999999</v>
      </c>
      <c r="K272" s="6">
        <v>1098.1199999999999</v>
      </c>
      <c r="L272" s="6">
        <v>1098.1199999999999</v>
      </c>
      <c r="M272" s="6">
        <v>1098.1199999999999</v>
      </c>
      <c r="N272" s="7">
        <f t="shared" si="16"/>
        <v>13177.439999999995</v>
      </c>
    </row>
    <row r="273" spans="1:15" x14ac:dyDescent="0.25">
      <c r="A273" s="5" t="s">
        <v>28</v>
      </c>
      <c r="B273" s="6">
        <v>4173.32</v>
      </c>
      <c r="C273" s="6">
        <v>4173.32</v>
      </c>
      <c r="D273" s="6">
        <v>5271.44</v>
      </c>
      <c r="E273" s="6">
        <v>4173.32</v>
      </c>
      <c r="F273" s="6">
        <v>1458.12</v>
      </c>
      <c r="G273" s="6">
        <v>1098.1199999999999</v>
      </c>
      <c r="H273" s="6">
        <v>1458.12</v>
      </c>
      <c r="I273" s="6">
        <v>4215.4399999999996</v>
      </c>
      <c r="J273" s="6">
        <v>5314.1</v>
      </c>
      <c r="K273" s="6">
        <v>5315.1</v>
      </c>
      <c r="L273" s="6">
        <v>4084.83</v>
      </c>
      <c r="M273" s="6">
        <v>3972.68</v>
      </c>
      <c r="N273" s="7">
        <f t="shared" si="16"/>
        <v>44707.909999999996</v>
      </c>
    </row>
    <row r="275" spans="1:15" ht="15.75" x14ac:dyDescent="0.25">
      <c r="A275" s="2" t="s">
        <v>45</v>
      </c>
    </row>
    <row r="276" spans="1:15" x14ac:dyDescent="0.25">
      <c r="A276" s="3" t="s">
        <v>2</v>
      </c>
      <c r="B276" s="4" t="s">
        <v>3</v>
      </c>
      <c r="C276" s="4" t="s">
        <v>4</v>
      </c>
      <c r="D276" s="4" t="s">
        <v>5</v>
      </c>
      <c r="E276" s="4" t="s">
        <v>6</v>
      </c>
      <c r="F276" s="4" t="s">
        <v>7</v>
      </c>
      <c r="G276" s="4" t="s">
        <v>8</v>
      </c>
      <c r="H276" s="4" t="s">
        <v>9</v>
      </c>
      <c r="I276" s="4" t="s">
        <v>10</v>
      </c>
      <c r="J276" s="4" t="s">
        <v>11</v>
      </c>
      <c r="K276" s="4" t="s">
        <v>12</v>
      </c>
      <c r="L276" s="4" t="s">
        <v>13</v>
      </c>
      <c r="M276" s="4" t="s">
        <v>14</v>
      </c>
      <c r="N276" s="4" t="s">
        <v>15</v>
      </c>
    </row>
    <row r="277" spans="1:15" x14ac:dyDescent="0.25">
      <c r="A277" s="5" t="s">
        <v>16</v>
      </c>
      <c r="B277" s="6">
        <v>1026.43</v>
      </c>
      <c r="C277" s="6">
        <v>1026.43</v>
      </c>
      <c r="D277" s="6">
        <v>903.25</v>
      </c>
      <c r="E277" s="6">
        <v>903.25</v>
      </c>
      <c r="F277" s="6">
        <v>903.25</v>
      </c>
      <c r="G277" s="6">
        <v>903.25</v>
      </c>
      <c r="H277" s="6">
        <v>903.25</v>
      </c>
      <c r="I277" s="6">
        <v>903.25</v>
      </c>
      <c r="J277" s="6">
        <v>903.25</v>
      </c>
      <c r="K277" s="6">
        <v>903.25</v>
      </c>
      <c r="L277" s="6">
        <v>903.25</v>
      </c>
      <c r="M277" s="6">
        <v>903.25</v>
      </c>
      <c r="N277" s="7">
        <f t="shared" ref="N277:N289" si="17">SUM(B277:M277)</f>
        <v>11085.36</v>
      </c>
    </row>
    <row r="278" spans="1:15" x14ac:dyDescent="0.25">
      <c r="A278" s="8" t="s">
        <v>17</v>
      </c>
      <c r="B278" s="9">
        <v>1571.65</v>
      </c>
      <c r="C278" s="9">
        <v>1571.65</v>
      </c>
      <c r="D278" s="9">
        <v>1571.65</v>
      </c>
      <c r="E278" s="9">
        <v>1571.65</v>
      </c>
      <c r="F278" s="9">
        <v>1571.65</v>
      </c>
      <c r="G278" s="9">
        <v>1571.65</v>
      </c>
      <c r="H278" s="9">
        <v>1571.65</v>
      </c>
      <c r="I278" s="9">
        <v>1571.65</v>
      </c>
      <c r="J278" s="9">
        <v>1571.65</v>
      </c>
      <c r="K278" s="9">
        <v>1571.65</v>
      </c>
      <c r="L278" s="9">
        <v>1571.65</v>
      </c>
      <c r="M278" s="9">
        <v>1571.65</v>
      </c>
      <c r="N278" s="10">
        <f t="shared" si="17"/>
        <v>18859.8</v>
      </c>
    </row>
    <row r="279" spans="1:15" x14ac:dyDescent="0.25">
      <c r="A279" s="8" t="s">
        <v>18</v>
      </c>
      <c r="B279" s="9">
        <v>220.03</v>
      </c>
      <c r="C279" s="9">
        <v>220.03</v>
      </c>
      <c r="D279" s="9">
        <v>220.03</v>
      </c>
      <c r="E279" s="9">
        <v>220.03</v>
      </c>
      <c r="F279" s="9">
        <v>220.03</v>
      </c>
      <c r="G279" s="9">
        <v>220.03</v>
      </c>
      <c r="H279" s="9">
        <v>220.03</v>
      </c>
      <c r="I279" s="9">
        <v>220.03</v>
      </c>
      <c r="J279" s="9">
        <v>220.03</v>
      </c>
      <c r="K279" s="9">
        <v>220.03</v>
      </c>
      <c r="L279" s="9">
        <v>220.03</v>
      </c>
      <c r="M279" s="9">
        <v>220.03</v>
      </c>
      <c r="N279" s="10">
        <f t="shared" si="17"/>
        <v>2640.3600000000006</v>
      </c>
    </row>
    <row r="280" spans="1:15" x14ac:dyDescent="0.25">
      <c r="A280" s="8" t="s">
        <v>19</v>
      </c>
      <c r="B280" s="9">
        <v>2380</v>
      </c>
      <c r="C280" s="9">
        <v>2380</v>
      </c>
      <c r="D280" s="9">
        <v>2380</v>
      </c>
      <c r="E280" s="9">
        <v>1700</v>
      </c>
      <c r="F280" s="9">
        <v>1700</v>
      </c>
      <c r="G280" s="9">
        <v>1700</v>
      </c>
      <c r="H280" s="9">
        <v>1700</v>
      </c>
      <c r="I280" s="9">
        <v>1700</v>
      </c>
      <c r="J280" s="9">
        <v>1700</v>
      </c>
      <c r="K280" s="9">
        <v>1700</v>
      </c>
      <c r="L280" s="9">
        <v>1620</v>
      </c>
      <c r="M280" s="9">
        <v>1700</v>
      </c>
      <c r="N280" s="10">
        <f t="shared" si="17"/>
        <v>22360</v>
      </c>
      <c r="O280" s="12">
        <f>SUM(H280:M280)</f>
        <v>10120</v>
      </c>
    </row>
    <row r="281" spans="1:15" x14ac:dyDescent="0.25">
      <c r="A281" s="8" t="s">
        <v>20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0">
        <f t="shared" si="17"/>
        <v>0</v>
      </c>
    </row>
    <row r="282" spans="1:15" x14ac:dyDescent="0.25">
      <c r="A282" s="8" t="s">
        <v>21</v>
      </c>
      <c r="B282" s="9">
        <v>1413.16</v>
      </c>
      <c r="C282" s="9">
        <v>1413.16</v>
      </c>
      <c r="D282" s="9">
        <v>1413.16</v>
      </c>
      <c r="E282" s="9">
        <v>1097.5999999999999</v>
      </c>
      <c r="F282" s="9">
        <v>1097.5999999999999</v>
      </c>
      <c r="G282" s="9">
        <v>1097.5999999999999</v>
      </c>
      <c r="H282" s="9">
        <v>1097.5999999999999</v>
      </c>
      <c r="I282" s="9">
        <v>1192</v>
      </c>
      <c r="J282" s="9">
        <v>1192</v>
      </c>
      <c r="K282" s="9">
        <v>1192</v>
      </c>
      <c r="L282" s="9">
        <v>1132.4000000000001</v>
      </c>
      <c r="M282" s="9">
        <v>1177.0999999999999</v>
      </c>
      <c r="N282" s="10">
        <f t="shared" si="17"/>
        <v>14515.380000000001</v>
      </c>
      <c r="O282" s="12">
        <f>SUM(H282:M282)</f>
        <v>6983.1</v>
      </c>
    </row>
    <row r="283" spans="1:15" x14ac:dyDescent="0.25">
      <c r="A283" s="8" t="s">
        <v>22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0">
        <f t="shared" si="17"/>
        <v>0</v>
      </c>
    </row>
    <row r="284" spans="1:15" x14ac:dyDescent="0.25">
      <c r="A284" s="8" t="s">
        <v>23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0">
        <f t="shared" si="17"/>
        <v>0</v>
      </c>
    </row>
    <row r="285" spans="1:15" x14ac:dyDescent="0.25">
      <c r="A285" s="8" t="s">
        <v>24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0">
        <f t="shared" si="17"/>
        <v>0</v>
      </c>
    </row>
    <row r="286" spans="1:15" x14ac:dyDescent="0.25">
      <c r="A286" s="5" t="s">
        <v>25</v>
      </c>
      <c r="B286" s="6">
        <v>5584.84</v>
      </c>
      <c r="C286" s="6">
        <v>5584.84</v>
      </c>
      <c r="D286" s="6">
        <v>5584.84</v>
      </c>
      <c r="E286" s="6">
        <v>4589.28</v>
      </c>
      <c r="F286" s="6">
        <v>4589.28</v>
      </c>
      <c r="G286" s="6">
        <v>4589.28</v>
      </c>
      <c r="H286" s="6">
        <v>4589.28</v>
      </c>
      <c r="I286" s="6">
        <v>4683.68</v>
      </c>
      <c r="J286" s="6">
        <v>4683.68</v>
      </c>
      <c r="K286" s="6">
        <v>854.39</v>
      </c>
      <c r="L286" s="6">
        <v>4544.08</v>
      </c>
      <c r="M286" s="6">
        <v>4668.78</v>
      </c>
      <c r="N286" s="7">
        <f t="shared" si="17"/>
        <v>54546.25</v>
      </c>
    </row>
    <row r="287" spans="1:15" x14ac:dyDescent="0.25">
      <c r="A287" s="5" t="s">
        <v>26</v>
      </c>
      <c r="B287" s="6">
        <v>540</v>
      </c>
      <c r="C287" s="6">
        <v>540</v>
      </c>
      <c r="D287" s="6">
        <v>540</v>
      </c>
      <c r="E287" s="6">
        <v>480</v>
      </c>
      <c r="F287" s="6">
        <v>480</v>
      </c>
      <c r="G287" s="6">
        <v>480</v>
      </c>
      <c r="H287" s="6">
        <v>480</v>
      </c>
      <c r="I287" s="6">
        <v>480</v>
      </c>
      <c r="J287" s="6">
        <v>480</v>
      </c>
      <c r="K287" s="6">
        <v>480</v>
      </c>
      <c r="L287" s="6">
        <v>420</v>
      </c>
      <c r="M287" s="6">
        <v>420</v>
      </c>
      <c r="N287" s="7">
        <f t="shared" si="17"/>
        <v>5820</v>
      </c>
    </row>
    <row r="288" spans="1:15" x14ac:dyDescent="0.25">
      <c r="A288" s="5" t="s">
        <v>27</v>
      </c>
      <c r="B288" s="6">
        <v>1231.71</v>
      </c>
      <c r="C288" s="6">
        <v>1231.71</v>
      </c>
      <c r="D288" s="6">
        <v>1231.71</v>
      </c>
      <c r="E288" s="6">
        <v>1231.71</v>
      </c>
      <c r="F288" s="6">
        <v>1231.71</v>
      </c>
      <c r="G288" s="6">
        <v>1231.71</v>
      </c>
      <c r="H288" s="6">
        <v>1231.71</v>
      </c>
      <c r="I288" s="6">
        <v>1231.71</v>
      </c>
      <c r="J288" s="6">
        <v>1231.71</v>
      </c>
      <c r="K288" s="6">
        <v>1231.71</v>
      </c>
      <c r="L288" s="6">
        <v>1231.71</v>
      </c>
      <c r="M288" s="6">
        <v>1231.71</v>
      </c>
      <c r="N288" s="7">
        <f t="shared" si="17"/>
        <v>14780.519999999997</v>
      </c>
    </row>
    <row r="289" spans="1:14" x14ac:dyDescent="0.25">
      <c r="A289" s="5" t="s">
        <v>28</v>
      </c>
      <c r="B289" s="6">
        <v>8382.98</v>
      </c>
      <c r="C289" s="6">
        <v>8382.98</v>
      </c>
      <c r="D289" s="6">
        <v>6904.92</v>
      </c>
      <c r="E289" s="6">
        <v>7204.24</v>
      </c>
      <c r="F289" s="6">
        <v>480</v>
      </c>
      <c r="G289" s="6">
        <v>1860.94</v>
      </c>
      <c r="H289" s="6">
        <v>7204.24</v>
      </c>
      <c r="I289" s="6">
        <v>7298.64</v>
      </c>
      <c r="J289" s="6">
        <v>1711.71</v>
      </c>
      <c r="K289" s="6">
        <v>3469.35</v>
      </c>
      <c r="L289" s="6">
        <v>7099.04</v>
      </c>
      <c r="M289" s="6">
        <v>7223.74</v>
      </c>
      <c r="N289" s="7">
        <f t="shared" si="17"/>
        <v>67222.78</v>
      </c>
    </row>
    <row r="291" spans="1:14" ht="15.75" x14ac:dyDescent="0.25">
      <c r="A291" s="2" t="s">
        <v>46</v>
      </c>
    </row>
    <row r="292" spans="1:14" x14ac:dyDescent="0.25">
      <c r="A292" s="3" t="s">
        <v>2</v>
      </c>
      <c r="B292" s="4" t="s">
        <v>3</v>
      </c>
      <c r="C292" s="4" t="s">
        <v>4</v>
      </c>
      <c r="D292" s="4" t="s">
        <v>5</v>
      </c>
      <c r="E292" s="4" t="s">
        <v>6</v>
      </c>
      <c r="F292" s="4" t="s">
        <v>7</v>
      </c>
      <c r="G292" s="4" t="s">
        <v>8</v>
      </c>
      <c r="H292" s="4" t="s">
        <v>9</v>
      </c>
      <c r="I292" s="4" t="s">
        <v>10</v>
      </c>
      <c r="J292" s="4" t="s">
        <v>11</v>
      </c>
      <c r="K292" s="4" t="s">
        <v>12</v>
      </c>
      <c r="L292" s="4" t="s">
        <v>13</v>
      </c>
      <c r="M292" s="4" t="s">
        <v>14</v>
      </c>
      <c r="N292" s="4" t="s">
        <v>15</v>
      </c>
    </row>
    <row r="293" spans="1:14" x14ac:dyDescent="0.25">
      <c r="A293" s="5" t="s">
        <v>16</v>
      </c>
      <c r="B293" s="6">
        <v>47.55</v>
      </c>
      <c r="C293" s="6">
        <v>47.55</v>
      </c>
      <c r="D293" s="6"/>
      <c r="E293" s="6"/>
      <c r="F293" s="6">
        <v>41.84</v>
      </c>
      <c r="G293" s="6"/>
      <c r="H293" s="6">
        <v>41.84</v>
      </c>
      <c r="I293" s="6">
        <v>41.84</v>
      </c>
      <c r="J293" s="6"/>
      <c r="K293" s="6"/>
      <c r="L293" s="6">
        <v>41.84</v>
      </c>
      <c r="M293" s="6"/>
      <c r="N293" s="7">
        <f t="shared" ref="N293:N305" si="18">SUM(B293:M293)</f>
        <v>262.46000000000004</v>
      </c>
    </row>
    <row r="294" spans="1:14" x14ac:dyDescent="0.25">
      <c r="A294" s="8" t="s">
        <v>17</v>
      </c>
      <c r="B294" s="9">
        <v>95.1</v>
      </c>
      <c r="C294" s="9">
        <v>95.1</v>
      </c>
      <c r="D294" s="9"/>
      <c r="E294" s="9"/>
      <c r="F294" s="9">
        <v>95.1</v>
      </c>
      <c r="G294" s="9"/>
      <c r="H294" s="9">
        <v>95.1</v>
      </c>
      <c r="I294" s="9">
        <v>95.1</v>
      </c>
      <c r="J294" s="9"/>
      <c r="K294" s="9"/>
      <c r="L294" s="9">
        <v>95.1</v>
      </c>
      <c r="M294" s="9"/>
      <c r="N294" s="10">
        <f t="shared" si="18"/>
        <v>570.6</v>
      </c>
    </row>
    <row r="295" spans="1:14" x14ac:dyDescent="0.25">
      <c r="A295" s="8" t="s">
        <v>18</v>
      </c>
      <c r="B295" s="9">
        <v>13.31</v>
      </c>
      <c r="C295" s="9">
        <v>13.31</v>
      </c>
      <c r="D295" s="9"/>
      <c r="E295" s="9"/>
      <c r="F295" s="9">
        <v>13.31</v>
      </c>
      <c r="G295" s="9"/>
      <c r="H295" s="9">
        <v>13.31</v>
      </c>
      <c r="I295" s="9">
        <v>13.31</v>
      </c>
      <c r="J295" s="9"/>
      <c r="K295" s="9"/>
      <c r="L295" s="9">
        <v>13.31</v>
      </c>
      <c r="M295" s="9"/>
      <c r="N295" s="10">
        <f t="shared" si="18"/>
        <v>79.86</v>
      </c>
    </row>
    <row r="296" spans="1:14" x14ac:dyDescent="0.25">
      <c r="A296" s="8" t="s">
        <v>19</v>
      </c>
      <c r="B296" s="9">
        <v>0</v>
      </c>
      <c r="C296" s="9">
        <v>0</v>
      </c>
      <c r="D296" s="9"/>
      <c r="E296" s="9"/>
      <c r="F296" s="9">
        <v>0</v>
      </c>
      <c r="G296" s="9"/>
      <c r="H296" s="9">
        <v>0</v>
      </c>
      <c r="I296" s="9">
        <v>0</v>
      </c>
      <c r="J296" s="9"/>
      <c r="K296" s="9"/>
      <c r="L296" s="9">
        <v>0</v>
      </c>
      <c r="M296" s="9"/>
      <c r="N296" s="10">
        <f t="shared" si="18"/>
        <v>0</v>
      </c>
    </row>
    <row r="297" spans="1:14" x14ac:dyDescent="0.25">
      <c r="A297" s="8" t="s">
        <v>20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0">
        <f t="shared" si="18"/>
        <v>0</v>
      </c>
    </row>
    <row r="298" spans="1:14" x14ac:dyDescent="0.25">
      <c r="A298" s="8" t="s">
        <v>21</v>
      </c>
      <c r="B298" s="9">
        <v>0</v>
      </c>
      <c r="C298" s="9">
        <v>0</v>
      </c>
      <c r="D298" s="9"/>
      <c r="E298" s="9"/>
      <c r="F298" s="9">
        <v>0</v>
      </c>
      <c r="G298" s="9"/>
      <c r="H298" s="9">
        <v>0</v>
      </c>
      <c r="I298" s="9">
        <v>0</v>
      </c>
      <c r="J298" s="9"/>
      <c r="K298" s="9"/>
      <c r="L298" s="9">
        <v>0</v>
      </c>
      <c r="M298" s="9"/>
      <c r="N298" s="10">
        <f t="shared" si="18"/>
        <v>0</v>
      </c>
    </row>
    <row r="299" spans="1:14" x14ac:dyDescent="0.25">
      <c r="A299" s="8" t="s">
        <v>22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0">
        <f t="shared" si="18"/>
        <v>0</v>
      </c>
    </row>
    <row r="300" spans="1:14" x14ac:dyDescent="0.25">
      <c r="A300" s="8" t="s">
        <v>23</v>
      </c>
      <c r="B300" s="9"/>
      <c r="C300" s="9">
        <v>0</v>
      </c>
      <c r="D300" s="9"/>
      <c r="E300" s="9"/>
      <c r="F300" s="9">
        <v>0</v>
      </c>
      <c r="G300" s="9"/>
      <c r="H300" s="9"/>
      <c r="I300" s="9">
        <v>0</v>
      </c>
      <c r="J300" s="9"/>
      <c r="K300" s="9"/>
      <c r="L300" s="9"/>
      <c r="M300" s="9"/>
      <c r="N300" s="10">
        <f t="shared" si="18"/>
        <v>0</v>
      </c>
    </row>
    <row r="301" spans="1:14" x14ac:dyDescent="0.25">
      <c r="A301" s="8" t="s">
        <v>24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0">
        <f t="shared" si="18"/>
        <v>0</v>
      </c>
    </row>
    <row r="302" spans="1:14" x14ac:dyDescent="0.25">
      <c r="A302" s="5" t="s">
        <v>25</v>
      </c>
      <c r="B302" s="6">
        <v>108.41</v>
      </c>
      <c r="C302" s="6">
        <v>108.41</v>
      </c>
      <c r="D302" s="6"/>
      <c r="E302" s="6"/>
      <c r="F302" s="6">
        <v>68.400000000000006</v>
      </c>
      <c r="G302" s="6"/>
      <c r="H302" s="6">
        <v>108.41</v>
      </c>
      <c r="I302" s="6">
        <v>108.41</v>
      </c>
      <c r="J302" s="6"/>
      <c r="K302" s="6"/>
      <c r="L302" s="6">
        <v>108.41</v>
      </c>
      <c r="M302" s="6"/>
      <c r="N302" s="7">
        <f t="shared" si="18"/>
        <v>610.44999999999993</v>
      </c>
    </row>
    <row r="303" spans="1:14" x14ac:dyDescent="0.25">
      <c r="A303" s="5" t="s">
        <v>26</v>
      </c>
      <c r="B303" s="6">
        <v>0</v>
      </c>
      <c r="C303" s="6">
        <v>0</v>
      </c>
      <c r="D303" s="6"/>
      <c r="E303" s="6"/>
      <c r="F303" s="6">
        <v>0</v>
      </c>
      <c r="G303" s="6"/>
      <c r="H303" s="6">
        <v>0</v>
      </c>
      <c r="I303" s="6">
        <v>0</v>
      </c>
      <c r="J303" s="6"/>
      <c r="K303" s="6"/>
      <c r="L303" s="6">
        <v>0</v>
      </c>
      <c r="M303" s="6"/>
      <c r="N303" s="7">
        <f t="shared" si="18"/>
        <v>0</v>
      </c>
    </row>
    <row r="304" spans="1:14" x14ac:dyDescent="0.25">
      <c r="A304" s="5" t="s">
        <v>27</v>
      </c>
      <c r="B304" s="6">
        <v>57.06</v>
      </c>
      <c r="C304" s="6">
        <v>57.06</v>
      </c>
      <c r="D304" s="6"/>
      <c r="E304" s="6"/>
      <c r="F304" s="6">
        <v>57.06</v>
      </c>
      <c r="G304" s="6"/>
      <c r="H304" s="6">
        <v>57.06</v>
      </c>
      <c r="I304" s="6">
        <v>57.06</v>
      </c>
      <c r="J304" s="6"/>
      <c r="K304" s="6"/>
      <c r="L304" s="6">
        <v>57.06</v>
      </c>
      <c r="M304" s="6"/>
      <c r="N304" s="7">
        <f t="shared" si="18"/>
        <v>342.36</v>
      </c>
    </row>
    <row r="305" spans="1:16" x14ac:dyDescent="0.25">
      <c r="A305" s="5" t="s">
        <v>28</v>
      </c>
      <c r="B305" s="6">
        <v>213.02</v>
      </c>
      <c r="C305" s="6">
        <v>213.02</v>
      </c>
      <c r="D305" s="6"/>
      <c r="E305" s="6"/>
      <c r="F305" s="6">
        <v>167.3</v>
      </c>
      <c r="G305" s="6"/>
      <c r="H305" s="6">
        <v>207.31</v>
      </c>
      <c r="I305" s="6">
        <v>207.31</v>
      </c>
      <c r="J305" s="6"/>
      <c r="K305" s="6"/>
      <c r="L305" s="6">
        <v>207.31</v>
      </c>
      <c r="M305" s="6"/>
      <c r="N305" s="7">
        <f t="shared" si="18"/>
        <v>1215.27</v>
      </c>
    </row>
    <row r="307" spans="1:16" ht="15.75" x14ac:dyDescent="0.25">
      <c r="A307" s="2" t="s">
        <v>47</v>
      </c>
    </row>
    <row r="308" spans="1:16" x14ac:dyDescent="0.25">
      <c r="A308" s="3" t="s">
        <v>2</v>
      </c>
      <c r="B308" s="4" t="s">
        <v>3</v>
      </c>
      <c r="C308" s="4" t="s">
        <v>4</v>
      </c>
      <c r="D308" s="4" t="s">
        <v>5</v>
      </c>
      <c r="E308" s="4" t="s">
        <v>6</v>
      </c>
      <c r="F308" s="4" t="s">
        <v>7</v>
      </c>
      <c r="G308" s="4" t="s">
        <v>8</v>
      </c>
      <c r="H308" s="4" t="s">
        <v>9</v>
      </c>
      <c r="I308" s="4" t="s">
        <v>10</v>
      </c>
      <c r="J308" s="4" t="s">
        <v>11</v>
      </c>
      <c r="K308" s="4" t="s">
        <v>12</v>
      </c>
      <c r="L308" s="4" t="s">
        <v>13</v>
      </c>
      <c r="M308" s="4" t="s">
        <v>14</v>
      </c>
      <c r="N308" s="4" t="s">
        <v>15</v>
      </c>
    </row>
    <row r="309" spans="1:16" x14ac:dyDescent="0.25">
      <c r="A309" s="5" t="s">
        <v>16</v>
      </c>
      <c r="B309" s="6">
        <v>3448.16</v>
      </c>
      <c r="C309" s="6">
        <v>3448.16</v>
      </c>
      <c r="D309" s="6">
        <v>3448.16</v>
      </c>
      <c r="E309" s="6">
        <v>3448.16</v>
      </c>
      <c r="F309" s="6">
        <v>3448.16</v>
      </c>
      <c r="G309" s="6">
        <v>3448.16</v>
      </c>
      <c r="H309" s="6">
        <v>3448.16</v>
      </c>
      <c r="I309" s="6">
        <v>3448.16</v>
      </c>
      <c r="J309" s="6">
        <v>3448.16</v>
      </c>
      <c r="K309" s="6">
        <v>3448.16</v>
      </c>
      <c r="L309" s="6">
        <v>3448.16</v>
      </c>
      <c r="M309" s="6">
        <v>3448.16</v>
      </c>
      <c r="N309" s="7">
        <f t="shared" ref="N309:N321" si="19">SUM(B309:M309)</f>
        <v>41377.919999999998</v>
      </c>
    </row>
    <row r="310" spans="1:16" x14ac:dyDescent="0.25">
      <c r="A310" s="8" t="s">
        <v>17</v>
      </c>
      <c r="B310" s="9">
        <v>7451</v>
      </c>
      <c r="C310" s="9">
        <v>7451</v>
      </c>
      <c r="D310" s="9">
        <v>7451</v>
      </c>
      <c r="E310" s="9">
        <v>7451</v>
      </c>
      <c r="F310" s="9">
        <v>7451</v>
      </c>
      <c r="G310" s="9">
        <v>7451</v>
      </c>
      <c r="H310" s="9">
        <v>7451</v>
      </c>
      <c r="I310" s="9">
        <v>7451</v>
      </c>
      <c r="J310" s="9">
        <v>7451</v>
      </c>
      <c r="K310" s="9">
        <v>7451</v>
      </c>
      <c r="L310" s="9">
        <v>7451</v>
      </c>
      <c r="M310" s="9">
        <v>7451</v>
      </c>
      <c r="N310" s="10">
        <f t="shared" si="19"/>
        <v>89412</v>
      </c>
    </row>
    <row r="311" spans="1:16" x14ac:dyDescent="0.25">
      <c r="A311" s="8" t="s">
        <v>18</v>
      </c>
      <c r="B311" s="9">
        <v>1043.1400000000001</v>
      </c>
      <c r="C311" s="9">
        <v>1043.1400000000001</v>
      </c>
      <c r="D311" s="9">
        <v>1043.1400000000001</v>
      </c>
      <c r="E311" s="9">
        <v>1043.1400000000001</v>
      </c>
      <c r="F311" s="9">
        <v>1043.1400000000001</v>
      </c>
      <c r="G311" s="9">
        <v>1043.1400000000001</v>
      </c>
      <c r="H311" s="9">
        <v>1043.1400000000001</v>
      </c>
      <c r="I311" s="9">
        <v>1043.1400000000001</v>
      </c>
      <c r="J311" s="9">
        <v>1043.1400000000001</v>
      </c>
      <c r="K311" s="9">
        <v>1043.1400000000001</v>
      </c>
      <c r="L311" s="9">
        <v>1043.1400000000001</v>
      </c>
      <c r="M311" s="9">
        <v>1043.1400000000001</v>
      </c>
      <c r="N311" s="10">
        <f t="shared" si="19"/>
        <v>12517.679999999998</v>
      </c>
    </row>
    <row r="312" spans="1:16" x14ac:dyDescent="0.25">
      <c r="A312" s="8" t="s">
        <v>19</v>
      </c>
      <c r="B312" s="9">
        <v>5812</v>
      </c>
      <c r="C312" s="9">
        <v>5812</v>
      </c>
      <c r="D312" s="9">
        <v>5892</v>
      </c>
      <c r="E312" s="9">
        <v>5892</v>
      </c>
      <c r="F312" s="9">
        <v>5892</v>
      </c>
      <c r="G312" s="9">
        <v>5912</v>
      </c>
      <c r="H312" s="9">
        <v>5992</v>
      </c>
      <c r="I312" s="13">
        <v>6116</v>
      </c>
      <c r="J312" s="11">
        <v>6024</v>
      </c>
      <c r="K312" s="9">
        <v>5944</v>
      </c>
      <c r="L312" s="9">
        <v>5944</v>
      </c>
      <c r="M312" s="9">
        <v>6364</v>
      </c>
      <c r="N312" s="10">
        <f t="shared" si="19"/>
        <v>71596</v>
      </c>
      <c r="O312" s="12">
        <f>SUM(H312:M312)</f>
        <v>36384</v>
      </c>
      <c r="P312" t="s">
        <v>64</v>
      </c>
    </row>
    <row r="313" spans="1:16" x14ac:dyDescent="0.25">
      <c r="A313" s="8" t="s">
        <v>20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0">
        <f t="shared" si="19"/>
        <v>0</v>
      </c>
    </row>
    <row r="314" spans="1:16" x14ac:dyDescent="0.25">
      <c r="A314" s="8" t="s">
        <v>21</v>
      </c>
      <c r="B314" s="9">
        <v>3814.16</v>
      </c>
      <c r="C314" s="9">
        <v>3814.16</v>
      </c>
      <c r="D314" s="9">
        <v>3855.32</v>
      </c>
      <c r="E314" s="9">
        <v>3855.32</v>
      </c>
      <c r="F314" s="9">
        <v>3855.32</v>
      </c>
      <c r="G314" s="9">
        <v>3937.64</v>
      </c>
      <c r="H314" s="9">
        <v>3992.52</v>
      </c>
      <c r="I314" s="9">
        <v>4353.53</v>
      </c>
      <c r="J314" s="11">
        <v>4417.8500000000004</v>
      </c>
      <c r="K314" s="9">
        <v>4313.55</v>
      </c>
      <c r="L314" s="9">
        <v>4313.55</v>
      </c>
      <c r="M314" s="9">
        <v>4544.5</v>
      </c>
      <c r="N314" s="10">
        <f t="shared" si="19"/>
        <v>49067.420000000006</v>
      </c>
      <c r="O314" s="12">
        <f>SUM(H314:M314)</f>
        <v>25935.5</v>
      </c>
      <c r="P314" t="s">
        <v>65</v>
      </c>
    </row>
    <row r="315" spans="1:16" x14ac:dyDescent="0.25">
      <c r="A315" s="8" t="s">
        <v>22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0">
        <f t="shared" si="19"/>
        <v>0</v>
      </c>
    </row>
    <row r="316" spans="1:16" x14ac:dyDescent="0.25">
      <c r="A316" s="8" t="s">
        <v>23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0">
        <f t="shared" si="19"/>
        <v>0</v>
      </c>
    </row>
    <row r="317" spans="1:16" x14ac:dyDescent="0.25">
      <c r="A317" s="8" t="s">
        <v>24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0">
        <f t="shared" si="19"/>
        <v>0</v>
      </c>
    </row>
    <row r="318" spans="1:16" x14ac:dyDescent="0.25">
      <c r="A318" s="5" t="s">
        <v>25</v>
      </c>
      <c r="B318" s="6">
        <v>18120.3</v>
      </c>
      <c r="C318" s="6">
        <v>18120.3</v>
      </c>
      <c r="D318" s="6">
        <v>18241.46</v>
      </c>
      <c r="E318" s="6">
        <v>18241.46</v>
      </c>
      <c r="F318" s="6">
        <v>18241.46</v>
      </c>
      <c r="G318" s="6">
        <v>18343.78</v>
      </c>
      <c r="H318" s="6">
        <v>18478.66</v>
      </c>
      <c r="I318" s="6">
        <v>18963.669999999998</v>
      </c>
      <c r="J318" s="6">
        <v>18935.990000000002</v>
      </c>
      <c r="K318" s="6">
        <v>18751.689999999999</v>
      </c>
      <c r="L318" s="6">
        <v>18751.689999999999</v>
      </c>
      <c r="M318" s="6">
        <v>19402.64</v>
      </c>
      <c r="N318" s="7">
        <f t="shared" si="19"/>
        <v>222593.09999999998</v>
      </c>
    </row>
    <row r="319" spans="1:16" x14ac:dyDescent="0.25">
      <c r="A319" s="5" t="s">
        <v>26</v>
      </c>
      <c r="B319" s="6">
        <v>1860</v>
      </c>
      <c r="C319" s="6">
        <v>1860</v>
      </c>
      <c r="D319" s="6">
        <v>1860</v>
      </c>
      <c r="E319" s="6">
        <v>1860</v>
      </c>
      <c r="F319" s="6">
        <v>1860</v>
      </c>
      <c r="G319" s="6">
        <v>1860</v>
      </c>
      <c r="H319" s="6">
        <v>1860</v>
      </c>
      <c r="I319" s="6">
        <v>1860</v>
      </c>
      <c r="J319" s="6">
        <v>1860</v>
      </c>
      <c r="K319" s="6">
        <v>1860</v>
      </c>
      <c r="L319" s="6">
        <v>1860</v>
      </c>
      <c r="M319" s="6">
        <v>1920</v>
      </c>
      <c r="N319" s="7">
        <f t="shared" si="19"/>
        <v>22380</v>
      </c>
    </row>
    <row r="320" spans="1:16" x14ac:dyDescent="0.25">
      <c r="A320" s="5" t="s">
        <v>27</v>
      </c>
      <c r="B320" s="6">
        <v>1049.44</v>
      </c>
      <c r="C320" s="6">
        <v>1049.44</v>
      </c>
      <c r="D320" s="6">
        <v>1049.44</v>
      </c>
      <c r="E320" s="6">
        <v>1049.44</v>
      </c>
      <c r="F320" s="6">
        <v>1049.44</v>
      </c>
      <c r="G320" s="6">
        <v>1049.44</v>
      </c>
      <c r="H320" s="6">
        <v>1049.44</v>
      </c>
      <c r="I320" s="6">
        <v>1049.44</v>
      </c>
      <c r="J320" s="6">
        <v>1049.44</v>
      </c>
      <c r="K320" s="6">
        <v>1049.44</v>
      </c>
      <c r="L320" s="6">
        <v>1049.44</v>
      </c>
      <c r="M320" s="6">
        <v>1049.44</v>
      </c>
      <c r="N320" s="7">
        <f t="shared" si="19"/>
        <v>12593.280000000004</v>
      </c>
    </row>
    <row r="321" spans="1:15" x14ac:dyDescent="0.25">
      <c r="A321" s="5" t="s">
        <v>28</v>
      </c>
      <c r="B321" s="6">
        <v>24477.9</v>
      </c>
      <c r="C321" s="6">
        <v>24477.9</v>
      </c>
      <c r="D321" s="6">
        <v>24599.06</v>
      </c>
      <c r="E321" s="6">
        <v>24599.06</v>
      </c>
      <c r="F321" s="6">
        <v>6357.6</v>
      </c>
      <c r="G321" s="6">
        <v>8007.36</v>
      </c>
      <c r="H321" s="6">
        <v>24836.26</v>
      </c>
      <c r="I321" s="6">
        <v>25321.27</v>
      </c>
      <c r="J321" s="6">
        <v>10302.959999999999</v>
      </c>
      <c r="K321" s="6">
        <v>25109.29</v>
      </c>
      <c r="L321" s="6">
        <v>25109.29</v>
      </c>
      <c r="M321" s="6">
        <v>25820.240000000002</v>
      </c>
      <c r="N321" s="7">
        <f t="shared" si="19"/>
        <v>249018.19</v>
      </c>
    </row>
    <row r="323" spans="1:15" ht="15.75" x14ac:dyDescent="0.25">
      <c r="A323" s="2" t="s">
        <v>48</v>
      </c>
    </row>
    <row r="324" spans="1:15" x14ac:dyDescent="0.25">
      <c r="A324" s="3" t="s">
        <v>2</v>
      </c>
      <c r="B324" s="4" t="s">
        <v>3</v>
      </c>
      <c r="C324" s="4" t="s">
        <v>4</v>
      </c>
      <c r="D324" s="4" t="s">
        <v>5</v>
      </c>
      <c r="E324" s="4" t="s">
        <v>6</v>
      </c>
      <c r="F324" s="4" t="s">
        <v>7</v>
      </c>
      <c r="G324" s="4" t="s">
        <v>8</v>
      </c>
      <c r="H324" s="4" t="s">
        <v>9</v>
      </c>
      <c r="I324" s="4" t="s">
        <v>10</v>
      </c>
      <c r="J324" s="4" t="s">
        <v>11</v>
      </c>
      <c r="K324" s="4" t="s">
        <v>12</v>
      </c>
      <c r="L324" s="4" t="s">
        <v>13</v>
      </c>
      <c r="M324" s="4" t="s">
        <v>14</v>
      </c>
      <c r="N324" s="4" t="s">
        <v>15</v>
      </c>
    </row>
    <row r="325" spans="1:15" x14ac:dyDescent="0.25">
      <c r="A325" s="5" t="s">
        <v>16</v>
      </c>
      <c r="B325" s="6">
        <v>696.2</v>
      </c>
      <c r="C325" s="6">
        <v>696.2</v>
      </c>
      <c r="D325" s="6">
        <v>696.2</v>
      </c>
      <c r="E325" s="6">
        <v>696.2</v>
      </c>
      <c r="F325" s="6">
        <v>696.2</v>
      </c>
      <c r="G325" s="6">
        <v>696.2</v>
      </c>
      <c r="H325" s="6">
        <v>696.2</v>
      </c>
      <c r="I325" s="6">
        <v>696.2</v>
      </c>
      <c r="J325" s="6">
        <v>696.2</v>
      </c>
      <c r="K325" s="6">
        <v>696.2</v>
      </c>
      <c r="L325" s="6">
        <v>696.2</v>
      </c>
      <c r="M325" s="6">
        <v>696.2</v>
      </c>
      <c r="N325" s="7">
        <f t="shared" ref="N325:N337" si="20">SUM(B325:M325)</f>
        <v>8354.4</v>
      </c>
    </row>
    <row r="326" spans="1:15" x14ac:dyDescent="0.25">
      <c r="A326" s="8" t="s">
        <v>17</v>
      </c>
      <c r="B326" s="9">
        <v>1392.4</v>
      </c>
      <c r="C326" s="9">
        <v>1392.4</v>
      </c>
      <c r="D326" s="9">
        <v>1392.4</v>
      </c>
      <c r="E326" s="9">
        <v>1392.4</v>
      </c>
      <c r="F326" s="9">
        <v>1392.4</v>
      </c>
      <c r="G326" s="9">
        <v>1392.4</v>
      </c>
      <c r="H326" s="9">
        <v>1392.4</v>
      </c>
      <c r="I326" s="9">
        <v>1392.4</v>
      </c>
      <c r="J326" s="9">
        <v>1392.4</v>
      </c>
      <c r="K326" s="9">
        <v>1392.4</v>
      </c>
      <c r="L326" s="9">
        <v>1392.4</v>
      </c>
      <c r="M326" s="9">
        <v>1392.4</v>
      </c>
      <c r="N326" s="10">
        <f t="shared" si="20"/>
        <v>16708.8</v>
      </c>
    </row>
    <row r="327" spans="1:15" x14ac:dyDescent="0.25">
      <c r="A327" s="8" t="s">
        <v>18</v>
      </c>
      <c r="B327" s="9">
        <v>194.94</v>
      </c>
      <c r="C327" s="9">
        <v>194.94</v>
      </c>
      <c r="D327" s="9">
        <v>194.94</v>
      </c>
      <c r="E327" s="9">
        <v>194.94</v>
      </c>
      <c r="F327" s="9">
        <v>194.94</v>
      </c>
      <c r="G327" s="9">
        <v>194.94</v>
      </c>
      <c r="H327" s="9">
        <v>194.94</v>
      </c>
      <c r="I327" s="9">
        <v>194.94</v>
      </c>
      <c r="J327" s="9">
        <v>194.94</v>
      </c>
      <c r="K327" s="9">
        <v>194.94</v>
      </c>
      <c r="L327" s="9">
        <v>194.94</v>
      </c>
      <c r="M327" s="9">
        <v>194.94</v>
      </c>
      <c r="N327" s="10">
        <f t="shared" si="20"/>
        <v>2339.2800000000002</v>
      </c>
    </row>
    <row r="328" spans="1:15" x14ac:dyDescent="0.25">
      <c r="A328" s="8" t="s">
        <v>19</v>
      </c>
      <c r="B328" s="9">
        <v>700</v>
      </c>
      <c r="C328" s="9">
        <v>700</v>
      </c>
      <c r="D328" s="9">
        <v>700</v>
      </c>
      <c r="E328" s="9">
        <v>700</v>
      </c>
      <c r="F328" s="9">
        <v>700</v>
      </c>
      <c r="G328" s="9">
        <v>700</v>
      </c>
      <c r="H328" s="9">
        <v>700</v>
      </c>
      <c r="I328" s="9">
        <v>700</v>
      </c>
      <c r="J328" s="9">
        <v>700</v>
      </c>
      <c r="K328" s="9">
        <v>700</v>
      </c>
      <c r="L328" s="9">
        <v>700</v>
      </c>
      <c r="M328" s="9">
        <v>700</v>
      </c>
      <c r="N328" s="10">
        <f t="shared" si="20"/>
        <v>8400</v>
      </c>
    </row>
    <row r="329" spans="1:15" x14ac:dyDescent="0.25">
      <c r="A329" s="8" t="s">
        <v>20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0">
        <f t="shared" si="20"/>
        <v>0</v>
      </c>
    </row>
    <row r="330" spans="1:15" x14ac:dyDescent="0.25">
      <c r="A330" s="8" t="s">
        <v>21</v>
      </c>
      <c r="B330" s="9">
        <v>631.12</v>
      </c>
      <c r="C330" s="9">
        <v>631.12</v>
      </c>
      <c r="D330" s="9">
        <v>631.12</v>
      </c>
      <c r="E330" s="9">
        <v>631.12</v>
      </c>
      <c r="F330" s="9">
        <v>631.12</v>
      </c>
      <c r="G330" s="9">
        <v>631.12</v>
      </c>
      <c r="H330" s="9">
        <v>631.12</v>
      </c>
      <c r="I330" s="9">
        <v>685.4</v>
      </c>
      <c r="J330" s="9">
        <v>685.4</v>
      </c>
      <c r="K330" s="9">
        <v>685.4</v>
      </c>
      <c r="L330" s="9">
        <v>685.4</v>
      </c>
      <c r="M330" s="9">
        <v>685.4</v>
      </c>
      <c r="N330" s="10">
        <f t="shared" si="20"/>
        <v>7844.8399999999983</v>
      </c>
      <c r="O330" s="12">
        <f>SUM(H330:M330)</f>
        <v>4058.1200000000003</v>
      </c>
    </row>
    <row r="331" spans="1:15" x14ac:dyDescent="0.25">
      <c r="A331" s="8" t="s">
        <v>22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0">
        <f t="shared" si="20"/>
        <v>0</v>
      </c>
    </row>
    <row r="332" spans="1:15" x14ac:dyDescent="0.25">
      <c r="A332" s="8" t="s">
        <v>23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>
        <f t="shared" si="20"/>
        <v>0</v>
      </c>
    </row>
    <row r="333" spans="1:15" x14ac:dyDescent="0.25">
      <c r="A333" s="8" t="s">
        <v>24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0">
        <f t="shared" si="20"/>
        <v>0</v>
      </c>
    </row>
    <row r="334" spans="1:15" x14ac:dyDescent="0.25">
      <c r="A334" s="5" t="s">
        <v>25</v>
      </c>
      <c r="B334" s="6">
        <v>2918.46</v>
      </c>
      <c r="C334" s="6">
        <v>2918.46</v>
      </c>
      <c r="D334" s="6">
        <v>2918.46</v>
      </c>
      <c r="E334" s="6">
        <v>2918.46</v>
      </c>
      <c r="F334" s="6">
        <v>2918.46</v>
      </c>
      <c r="G334" s="6">
        <v>2918.46</v>
      </c>
      <c r="H334" s="6">
        <v>2918.46</v>
      </c>
      <c r="I334" s="6">
        <v>2972.74</v>
      </c>
      <c r="J334" s="6">
        <v>2972.74</v>
      </c>
      <c r="K334" s="6">
        <v>2972.74</v>
      </c>
      <c r="L334" s="6">
        <v>2972.74</v>
      </c>
      <c r="M334" s="6">
        <v>2972.74</v>
      </c>
      <c r="N334" s="7">
        <f t="shared" si="20"/>
        <v>35292.919999999991</v>
      </c>
    </row>
    <row r="335" spans="1:15" x14ac:dyDescent="0.25">
      <c r="A335" s="5" t="s">
        <v>26</v>
      </c>
      <c r="B335" s="6">
        <v>300</v>
      </c>
      <c r="C335" s="6">
        <v>300</v>
      </c>
      <c r="D335" s="6">
        <v>300</v>
      </c>
      <c r="E335" s="6">
        <v>300</v>
      </c>
      <c r="F335" s="6">
        <v>300</v>
      </c>
      <c r="G335" s="6">
        <v>300</v>
      </c>
      <c r="H335" s="6">
        <v>300</v>
      </c>
      <c r="I335" s="6">
        <v>300</v>
      </c>
      <c r="J335" s="6">
        <v>300</v>
      </c>
      <c r="K335" s="6">
        <v>300</v>
      </c>
      <c r="L335" s="6">
        <v>300</v>
      </c>
      <c r="M335" s="6">
        <v>300</v>
      </c>
      <c r="N335" s="7">
        <f t="shared" si="20"/>
        <v>3600</v>
      </c>
    </row>
    <row r="336" spans="1:15" x14ac:dyDescent="0.25">
      <c r="A336" s="5" t="s">
        <v>27</v>
      </c>
      <c r="B336" s="6">
        <v>278.48</v>
      </c>
      <c r="C336" s="6">
        <v>278.48</v>
      </c>
      <c r="D336" s="6">
        <v>278.48</v>
      </c>
      <c r="E336" s="6">
        <v>278.48</v>
      </c>
      <c r="F336" s="6">
        <v>278.48</v>
      </c>
      <c r="G336" s="6">
        <v>278.48</v>
      </c>
      <c r="H336" s="6">
        <v>278.48</v>
      </c>
      <c r="I336" s="6">
        <v>278.48</v>
      </c>
      <c r="J336" s="6">
        <v>278.48</v>
      </c>
      <c r="K336" s="6">
        <v>278.48</v>
      </c>
      <c r="L336" s="6">
        <v>278.48</v>
      </c>
      <c r="M336" s="6">
        <v>278.48</v>
      </c>
      <c r="N336" s="7">
        <f t="shared" si="20"/>
        <v>3341.76</v>
      </c>
    </row>
    <row r="337" spans="1:15" x14ac:dyDescent="0.25">
      <c r="A337" s="5" t="s">
        <v>28</v>
      </c>
      <c r="B337" s="6">
        <v>3914.66</v>
      </c>
      <c r="C337" s="6">
        <v>3914.66</v>
      </c>
      <c r="D337" s="6">
        <v>4193.1400000000003</v>
      </c>
      <c r="E337" s="6">
        <v>3914.66</v>
      </c>
      <c r="F337" s="6">
        <v>4036.75</v>
      </c>
      <c r="G337" s="6">
        <v>4193.1400000000003</v>
      </c>
      <c r="H337" s="6">
        <v>4193.1400000000003</v>
      </c>
      <c r="I337" s="6">
        <v>3968.94</v>
      </c>
      <c r="J337" s="6">
        <v>2966.21</v>
      </c>
      <c r="K337" s="6">
        <v>4247.42</v>
      </c>
      <c r="L337" s="6">
        <v>3968.94</v>
      </c>
      <c r="M337" s="6">
        <v>3968.94</v>
      </c>
      <c r="N337" s="7">
        <f t="shared" si="20"/>
        <v>47480.6</v>
      </c>
    </row>
    <row r="339" spans="1:15" ht="15.75" x14ac:dyDescent="0.25">
      <c r="A339" s="2" t="s">
        <v>49</v>
      </c>
    </row>
    <row r="340" spans="1:15" x14ac:dyDescent="0.25">
      <c r="A340" s="3" t="s">
        <v>2</v>
      </c>
      <c r="B340" s="4" t="s">
        <v>3</v>
      </c>
      <c r="C340" s="4" t="s">
        <v>4</v>
      </c>
      <c r="D340" s="4" t="s">
        <v>5</v>
      </c>
      <c r="E340" s="4" t="s">
        <v>6</v>
      </c>
      <c r="F340" s="4" t="s">
        <v>7</v>
      </c>
      <c r="G340" s="4" t="s">
        <v>8</v>
      </c>
      <c r="H340" s="4" t="s">
        <v>9</v>
      </c>
      <c r="I340" s="4" t="s">
        <v>10</v>
      </c>
      <c r="J340" s="4" t="s">
        <v>11</v>
      </c>
      <c r="K340" s="4" t="s">
        <v>12</v>
      </c>
      <c r="L340" s="4" t="s">
        <v>13</v>
      </c>
      <c r="M340" s="4" t="s">
        <v>14</v>
      </c>
      <c r="N340" s="4" t="s">
        <v>15</v>
      </c>
    </row>
    <row r="341" spans="1:15" x14ac:dyDescent="0.25">
      <c r="A341" s="5" t="s">
        <v>16</v>
      </c>
      <c r="B341" s="6">
        <v>3906.18</v>
      </c>
      <c r="C341" s="6">
        <v>3906.18</v>
      </c>
      <c r="D341" s="6">
        <v>3906.18</v>
      </c>
      <c r="E341" s="6">
        <v>3906.18</v>
      </c>
      <c r="F341" s="6">
        <v>3906.18</v>
      </c>
      <c r="G341" s="6">
        <v>3906.18</v>
      </c>
      <c r="H341" s="6">
        <v>3906.18</v>
      </c>
      <c r="I341" s="6">
        <v>3906.18</v>
      </c>
      <c r="J341" s="6">
        <v>3906.18</v>
      </c>
      <c r="K341" s="6">
        <v>3906.18</v>
      </c>
      <c r="L341" s="6">
        <v>3906.18</v>
      </c>
      <c r="M341" s="6">
        <v>3906.18</v>
      </c>
      <c r="N341" s="7">
        <f t="shared" ref="N341:N353" si="21">SUM(B341:M341)</f>
        <v>46874.159999999996</v>
      </c>
    </row>
    <row r="342" spans="1:15" x14ac:dyDescent="0.25">
      <c r="A342" s="8" t="s">
        <v>17</v>
      </c>
      <c r="B342" s="9">
        <v>9001.2000000000007</v>
      </c>
      <c r="C342" s="9">
        <v>9001.2000000000007</v>
      </c>
      <c r="D342" s="9">
        <v>9001.2000000000007</v>
      </c>
      <c r="E342" s="9">
        <v>9001.2000000000007</v>
      </c>
      <c r="F342" s="9">
        <v>9001.2000000000007</v>
      </c>
      <c r="G342" s="9">
        <v>9001.2000000000007</v>
      </c>
      <c r="H342" s="9">
        <v>9001.2000000000007</v>
      </c>
      <c r="I342" s="9">
        <v>9001.2000000000007</v>
      </c>
      <c r="J342" s="9">
        <v>9001.2000000000007</v>
      </c>
      <c r="K342" s="9">
        <v>9001.2000000000007</v>
      </c>
      <c r="L342" s="9">
        <v>9001.2000000000007</v>
      </c>
      <c r="M342" s="9">
        <v>9001.2000000000007</v>
      </c>
      <c r="N342" s="10">
        <f t="shared" si="21"/>
        <v>108014.39999999998</v>
      </c>
    </row>
    <row r="343" spans="1:15" x14ac:dyDescent="0.25">
      <c r="A343" s="8" t="s">
        <v>18</v>
      </c>
      <c r="B343" s="9">
        <v>1188.8399999999999</v>
      </c>
      <c r="C343" s="9">
        <v>1188.8399999999999</v>
      </c>
      <c r="D343" s="9">
        <v>1188.8399999999999</v>
      </c>
      <c r="E343" s="9">
        <v>1188.8399999999999</v>
      </c>
      <c r="F343" s="9">
        <v>1188.8399999999999</v>
      </c>
      <c r="G343" s="9">
        <v>1188.8399999999999</v>
      </c>
      <c r="H343" s="9">
        <v>1188.8399999999999</v>
      </c>
      <c r="I343" s="9">
        <v>1188.8399999999999</v>
      </c>
      <c r="J343" s="9">
        <v>1188.8399999999999</v>
      </c>
      <c r="K343" s="9">
        <v>1188.8399999999999</v>
      </c>
      <c r="L343" s="9">
        <v>1188.8399999999999</v>
      </c>
      <c r="M343" s="9">
        <v>1188.8399999999999</v>
      </c>
      <c r="N343" s="10">
        <f t="shared" si="21"/>
        <v>14266.08</v>
      </c>
    </row>
    <row r="344" spans="1:15" x14ac:dyDescent="0.25">
      <c r="A344" s="8" t="s">
        <v>19</v>
      </c>
      <c r="B344" s="9">
        <v>6200</v>
      </c>
      <c r="C344" s="9">
        <v>6200</v>
      </c>
      <c r="D344" s="9">
        <v>6200</v>
      </c>
      <c r="E344" s="9">
        <v>6120</v>
      </c>
      <c r="F344" s="9">
        <v>6100</v>
      </c>
      <c r="G344" s="9">
        <v>6100</v>
      </c>
      <c r="H344" s="9">
        <v>6100</v>
      </c>
      <c r="I344" s="9">
        <v>5860</v>
      </c>
      <c r="J344" s="9">
        <v>5860</v>
      </c>
      <c r="K344" s="9">
        <v>5860</v>
      </c>
      <c r="L344" s="9">
        <v>6100</v>
      </c>
      <c r="M344" s="9">
        <v>5940</v>
      </c>
      <c r="N344" s="10">
        <f t="shared" si="21"/>
        <v>72640</v>
      </c>
      <c r="O344" s="12">
        <f>SUM(H344:M344)</f>
        <v>35720</v>
      </c>
    </row>
    <row r="345" spans="1:15" x14ac:dyDescent="0.25">
      <c r="A345" s="8" t="s">
        <v>20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0">
        <f t="shared" si="21"/>
        <v>0</v>
      </c>
    </row>
    <row r="346" spans="1:15" x14ac:dyDescent="0.25">
      <c r="A346" s="8" t="s">
        <v>21</v>
      </c>
      <c r="B346" s="9">
        <v>4465.8599999999997</v>
      </c>
      <c r="C346" s="9">
        <v>4465.8599999999997</v>
      </c>
      <c r="D346" s="9">
        <v>4465.8599999999997</v>
      </c>
      <c r="E346" s="9">
        <v>4424.7</v>
      </c>
      <c r="F346" s="9">
        <v>4410.9799999999996</v>
      </c>
      <c r="G346" s="9">
        <v>4410.9799999999996</v>
      </c>
      <c r="H346" s="9">
        <v>4410.9799999999996</v>
      </c>
      <c r="I346" s="9">
        <v>4566.8500000000004</v>
      </c>
      <c r="J346" s="9">
        <v>4566.8500000000004</v>
      </c>
      <c r="K346" s="9">
        <v>4566.8500000000004</v>
      </c>
      <c r="L346" s="9">
        <v>4700.95</v>
      </c>
      <c r="M346" s="9">
        <v>4581.75</v>
      </c>
      <c r="N346" s="10">
        <f t="shared" si="21"/>
        <v>54038.469999999994</v>
      </c>
      <c r="O346">
        <f>SUM(H346:M346)</f>
        <v>27394.23</v>
      </c>
    </row>
    <row r="347" spans="1:15" x14ac:dyDescent="0.25">
      <c r="A347" s="8" t="s">
        <v>22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0">
        <f t="shared" si="21"/>
        <v>0</v>
      </c>
    </row>
    <row r="348" spans="1:15" x14ac:dyDescent="0.25">
      <c r="A348" s="8" t="s">
        <v>23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>
        <f t="shared" si="21"/>
        <v>0</v>
      </c>
    </row>
    <row r="349" spans="1:15" x14ac:dyDescent="0.25">
      <c r="A349" s="8" t="s">
        <v>24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0">
        <f t="shared" si="21"/>
        <v>0</v>
      </c>
    </row>
    <row r="350" spans="1:15" x14ac:dyDescent="0.25">
      <c r="A350" s="5" t="s">
        <v>25</v>
      </c>
      <c r="B350" s="6">
        <v>20855.900000000001</v>
      </c>
      <c r="C350" s="6">
        <v>20855.900000000001</v>
      </c>
      <c r="D350" s="6">
        <v>20855.900000000001</v>
      </c>
      <c r="E350" s="6">
        <v>20734.740000000002</v>
      </c>
      <c r="F350" s="6">
        <v>20701.02</v>
      </c>
      <c r="G350" s="6">
        <v>20701.02</v>
      </c>
      <c r="H350" s="6">
        <v>20701.02</v>
      </c>
      <c r="I350" s="6">
        <v>20616.89</v>
      </c>
      <c r="J350" s="6">
        <v>20616.89</v>
      </c>
      <c r="K350" s="6">
        <v>1560.65</v>
      </c>
      <c r="L350" s="6">
        <v>20990.99</v>
      </c>
      <c r="M350" s="6">
        <v>20711.79</v>
      </c>
      <c r="N350" s="7">
        <f t="shared" si="21"/>
        <v>229902.71000000002</v>
      </c>
    </row>
    <row r="351" spans="1:15" x14ac:dyDescent="0.25">
      <c r="A351" s="5" t="s">
        <v>26</v>
      </c>
      <c r="B351" s="6">
        <v>2460</v>
      </c>
      <c r="C351" s="6">
        <v>2460</v>
      </c>
      <c r="D351" s="6">
        <v>2460</v>
      </c>
      <c r="E351" s="6">
        <v>2400</v>
      </c>
      <c r="F351" s="6">
        <v>2400</v>
      </c>
      <c r="G351" s="6">
        <v>2400</v>
      </c>
      <c r="H351" s="6">
        <v>2400</v>
      </c>
      <c r="I351" s="6">
        <v>2340</v>
      </c>
      <c r="J351" s="6">
        <v>2340</v>
      </c>
      <c r="K351" s="6">
        <v>2340</v>
      </c>
      <c r="L351" s="6">
        <v>2400</v>
      </c>
      <c r="M351" s="6">
        <v>2400</v>
      </c>
      <c r="N351" s="7">
        <f t="shared" si="21"/>
        <v>28800</v>
      </c>
    </row>
    <row r="352" spans="1:15" x14ac:dyDescent="0.25">
      <c r="A352" s="5" t="s">
        <v>27</v>
      </c>
      <c r="B352" s="6">
        <v>6793.36</v>
      </c>
      <c r="C352" s="6">
        <v>6793.36</v>
      </c>
      <c r="D352" s="6">
        <v>6793.36</v>
      </c>
      <c r="E352" s="6">
        <v>6793.36</v>
      </c>
      <c r="F352" s="6">
        <v>6793.36</v>
      </c>
      <c r="G352" s="6">
        <v>6793.36</v>
      </c>
      <c r="H352" s="6">
        <v>6793.36</v>
      </c>
      <c r="I352" s="6">
        <v>6793.36</v>
      </c>
      <c r="J352" s="6">
        <v>0</v>
      </c>
      <c r="K352" s="6">
        <v>5095.0200000000004</v>
      </c>
      <c r="L352" s="6">
        <v>5095.0200000000004</v>
      </c>
      <c r="M352" s="6">
        <v>5095.0200000000004</v>
      </c>
      <c r="N352" s="7">
        <f t="shared" si="21"/>
        <v>69631.94</v>
      </c>
    </row>
    <row r="353" spans="1:15" x14ac:dyDescent="0.25">
      <c r="A353" s="5" t="s">
        <v>28</v>
      </c>
      <c r="B353" s="6">
        <v>34015.440000000002</v>
      </c>
      <c r="C353" s="6">
        <v>34015.440000000002</v>
      </c>
      <c r="D353" s="6">
        <v>34015.440000000002</v>
      </c>
      <c r="E353" s="6">
        <v>33834.28</v>
      </c>
      <c r="F353" s="6">
        <v>28352.65</v>
      </c>
      <c r="G353" s="6">
        <v>33800.559999999998</v>
      </c>
      <c r="H353" s="6">
        <v>33800.559999999998</v>
      </c>
      <c r="I353" s="6">
        <v>33656.43</v>
      </c>
      <c r="J353" s="6">
        <v>26863.07</v>
      </c>
      <c r="K353" s="6">
        <v>12901.85</v>
      </c>
      <c r="L353" s="6">
        <v>32392.19</v>
      </c>
      <c r="M353" s="6">
        <v>32112.99</v>
      </c>
      <c r="N353" s="7">
        <f t="shared" si="21"/>
        <v>369760.89999999997</v>
      </c>
    </row>
    <row r="355" spans="1:15" ht="15.75" x14ac:dyDescent="0.25">
      <c r="A355" s="2" t="s">
        <v>50</v>
      </c>
    </row>
    <row r="356" spans="1:15" x14ac:dyDescent="0.25">
      <c r="A356" s="3" t="s">
        <v>2</v>
      </c>
      <c r="B356" s="4" t="s">
        <v>3</v>
      </c>
      <c r="C356" s="4" t="s">
        <v>4</v>
      </c>
      <c r="D356" s="4" t="s">
        <v>5</v>
      </c>
      <c r="E356" s="4" t="s">
        <v>6</v>
      </c>
      <c r="F356" s="4" t="s">
        <v>7</v>
      </c>
      <c r="G356" s="4" t="s">
        <v>8</v>
      </c>
      <c r="H356" s="4" t="s">
        <v>9</v>
      </c>
      <c r="I356" s="4" t="s">
        <v>10</v>
      </c>
      <c r="J356" s="4" t="s">
        <v>11</v>
      </c>
      <c r="K356" s="4" t="s">
        <v>12</v>
      </c>
      <c r="L356" s="4" t="s">
        <v>13</v>
      </c>
      <c r="M356" s="4" t="s">
        <v>14</v>
      </c>
      <c r="N356" s="4" t="s">
        <v>15</v>
      </c>
    </row>
    <row r="357" spans="1:15" x14ac:dyDescent="0.25">
      <c r="A357" s="5" t="s">
        <v>16</v>
      </c>
      <c r="B357" s="6">
        <v>307.44</v>
      </c>
      <c r="C357" s="6">
        <v>307.44</v>
      </c>
      <c r="D357" s="6">
        <v>307.44</v>
      </c>
      <c r="E357" s="6">
        <v>307.44</v>
      </c>
      <c r="F357" s="6">
        <v>307.44</v>
      </c>
      <c r="G357" s="6">
        <v>307.44</v>
      </c>
      <c r="H357" s="6">
        <v>307.44</v>
      </c>
      <c r="I357" s="6">
        <v>307.44</v>
      </c>
      <c r="J357" s="6">
        <v>307.44</v>
      </c>
      <c r="K357" s="6">
        <v>307.44</v>
      </c>
      <c r="L357" s="6">
        <v>307.44</v>
      </c>
      <c r="M357" s="6">
        <v>307.44</v>
      </c>
      <c r="N357" s="7">
        <f t="shared" ref="N357:N369" si="22">SUM(B357:M357)</f>
        <v>3689.28</v>
      </c>
    </row>
    <row r="358" spans="1:15" x14ac:dyDescent="0.25">
      <c r="A358" s="8" t="s">
        <v>17</v>
      </c>
      <c r="B358" s="9">
        <v>708.45</v>
      </c>
      <c r="C358" s="9">
        <v>708.45</v>
      </c>
      <c r="D358" s="9">
        <v>708.45</v>
      </c>
      <c r="E358" s="9">
        <v>708.45</v>
      </c>
      <c r="F358" s="9">
        <v>708.45</v>
      </c>
      <c r="G358" s="9">
        <v>708.45</v>
      </c>
      <c r="H358" s="9">
        <v>708.45</v>
      </c>
      <c r="I358" s="9">
        <v>708.45</v>
      </c>
      <c r="J358" s="9">
        <v>708.45</v>
      </c>
      <c r="K358" s="9">
        <v>708.45</v>
      </c>
      <c r="L358" s="9">
        <v>708.45</v>
      </c>
      <c r="M358" s="9">
        <v>708.45</v>
      </c>
      <c r="N358" s="10">
        <f t="shared" si="22"/>
        <v>8501.4</v>
      </c>
    </row>
    <row r="359" spans="1:15" x14ac:dyDescent="0.25">
      <c r="A359" s="8" t="s">
        <v>18</v>
      </c>
      <c r="B359" s="9">
        <v>93.57</v>
      </c>
      <c r="C359" s="9">
        <v>93.57</v>
      </c>
      <c r="D359" s="9">
        <v>93.57</v>
      </c>
      <c r="E359" s="9">
        <v>93.57</v>
      </c>
      <c r="F359" s="9">
        <v>93.57</v>
      </c>
      <c r="G359" s="9">
        <v>93.57</v>
      </c>
      <c r="H359" s="9">
        <v>93.57</v>
      </c>
      <c r="I359" s="9">
        <v>93.57</v>
      </c>
      <c r="J359" s="9">
        <v>93.57</v>
      </c>
      <c r="K359" s="9">
        <v>93.57</v>
      </c>
      <c r="L359" s="9">
        <v>93.57</v>
      </c>
      <c r="M359" s="9">
        <v>93.57</v>
      </c>
      <c r="N359" s="10">
        <f t="shared" si="22"/>
        <v>1122.8399999999997</v>
      </c>
    </row>
    <row r="360" spans="1:15" x14ac:dyDescent="0.25">
      <c r="A360" s="8" t="s">
        <v>19</v>
      </c>
      <c r="B360" s="9">
        <v>80</v>
      </c>
      <c r="C360" s="9">
        <v>80</v>
      </c>
      <c r="D360" s="9">
        <v>80</v>
      </c>
      <c r="E360" s="9">
        <v>80</v>
      </c>
      <c r="F360" s="9">
        <v>160</v>
      </c>
      <c r="G360" s="9">
        <v>120</v>
      </c>
      <c r="H360" s="9">
        <v>120</v>
      </c>
      <c r="I360" s="9">
        <v>120</v>
      </c>
      <c r="J360" s="9">
        <v>120</v>
      </c>
      <c r="K360" s="9">
        <v>120</v>
      </c>
      <c r="L360" s="9">
        <v>120</v>
      </c>
      <c r="M360" s="9">
        <v>120</v>
      </c>
      <c r="N360" s="10">
        <f t="shared" si="22"/>
        <v>1320</v>
      </c>
      <c r="O360" s="12">
        <f>SUM(H360:M360)</f>
        <v>720</v>
      </c>
    </row>
    <row r="361" spans="1:15" x14ac:dyDescent="0.25">
      <c r="A361" s="8" t="s">
        <v>20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0">
        <f t="shared" si="22"/>
        <v>0</v>
      </c>
    </row>
    <row r="362" spans="1:15" x14ac:dyDescent="0.25">
      <c r="A362" s="8" t="s">
        <v>21</v>
      </c>
      <c r="B362" s="9">
        <v>10.86</v>
      </c>
      <c r="C362" s="9">
        <v>27.44</v>
      </c>
      <c r="D362" s="9">
        <v>10.86</v>
      </c>
      <c r="E362" s="9">
        <v>10.86</v>
      </c>
      <c r="F362" s="9">
        <v>82.32</v>
      </c>
      <c r="G362" s="9">
        <v>54.88</v>
      </c>
      <c r="H362" s="9">
        <v>10.86</v>
      </c>
      <c r="I362" s="9">
        <v>59.6</v>
      </c>
      <c r="J362" s="9">
        <v>59.6</v>
      </c>
      <c r="K362" s="9">
        <v>59.6</v>
      </c>
      <c r="L362" s="9">
        <v>59.6</v>
      </c>
      <c r="M362" s="9">
        <v>59.6</v>
      </c>
      <c r="N362" s="10">
        <f t="shared" si="22"/>
        <v>506.0800000000001</v>
      </c>
      <c r="O362" s="12"/>
    </row>
    <row r="363" spans="1:15" x14ac:dyDescent="0.25">
      <c r="A363" s="8" t="s">
        <v>22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0">
        <f t="shared" si="22"/>
        <v>0</v>
      </c>
    </row>
    <row r="364" spans="1:15" x14ac:dyDescent="0.25">
      <c r="A364" s="8" t="s">
        <v>23</v>
      </c>
      <c r="B364" s="9">
        <v>16.579999999999998</v>
      </c>
      <c r="C364" s="9">
        <v>16.579999999999998</v>
      </c>
      <c r="D364" s="9">
        <v>16.579999999999998</v>
      </c>
      <c r="E364" s="9">
        <v>16.579999999999998</v>
      </c>
      <c r="F364" s="9"/>
      <c r="G364" s="9">
        <v>33.159999999999997</v>
      </c>
      <c r="H364" s="9">
        <v>33.159999999999997</v>
      </c>
      <c r="I364" s="9">
        <v>36</v>
      </c>
      <c r="J364" s="9">
        <v>36</v>
      </c>
      <c r="K364" s="9">
        <v>36</v>
      </c>
      <c r="L364" s="9">
        <v>36</v>
      </c>
      <c r="M364" s="9">
        <v>59.6</v>
      </c>
      <c r="N364" s="10">
        <f t="shared" si="22"/>
        <v>336.24</v>
      </c>
    </row>
    <row r="365" spans="1:15" x14ac:dyDescent="0.25">
      <c r="A365" s="8" t="s">
        <v>24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0">
        <f t="shared" si="22"/>
        <v>0</v>
      </c>
    </row>
    <row r="366" spans="1:15" x14ac:dyDescent="0.25">
      <c r="A366" s="5" t="s">
        <v>25</v>
      </c>
      <c r="B366" s="6">
        <v>909.46</v>
      </c>
      <c r="C366" s="6">
        <v>909.46</v>
      </c>
      <c r="D366" s="6">
        <v>909.46</v>
      </c>
      <c r="E366" s="6">
        <v>909.46</v>
      </c>
      <c r="F366" s="6">
        <v>1044.3399999999999</v>
      </c>
      <c r="G366" s="6">
        <v>976.9</v>
      </c>
      <c r="H366" s="6">
        <v>976.9</v>
      </c>
      <c r="I366" s="6">
        <v>981.62</v>
      </c>
      <c r="J366" s="6">
        <v>981.62</v>
      </c>
      <c r="K366" s="6">
        <v>318.79000000000002</v>
      </c>
      <c r="L366" s="6">
        <v>981.62</v>
      </c>
      <c r="M366" s="6">
        <v>981.62</v>
      </c>
      <c r="N366" s="7">
        <f t="shared" si="22"/>
        <v>10881.250000000002</v>
      </c>
    </row>
    <row r="367" spans="1:15" x14ac:dyDescent="0.25">
      <c r="A367" s="5" t="s">
        <v>26</v>
      </c>
      <c r="B367" s="6">
        <v>165.96</v>
      </c>
      <c r="C367" s="6">
        <v>165.96</v>
      </c>
      <c r="D367" s="6">
        <v>165.96</v>
      </c>
      <c r="E367" s="6">
        <v>165.96</v>
      </c>
      <c r="F367" s="6">
        <v>399.72</v>
      </c>
      <c r="G367" s="6">
        <v>258.16000000000003</v>
      </c>
      <c r="H367" s="6">
        <v>258.16000000000003</v>
      </c>
      <c r="I367" s="6">
        <v>258.16000000000003</v>
      </c>
      <c r="J367" s="6">
        <v>258.16000000000003</v>
      </c>
      <c r="K367" s="6">
        <v>258.16000000000003</v>
      </c>
      <c r="L367" s="6">
        <v>258.16000000000003</v>
      </c>
      <c r="M367" s="6">
        <v>258.16000000000003</v>
      </c>
      <c r="N367" s="7">
        <f t="shared" si="22"/>
        <v>2870.68</v>
      </c>
    </row>
    <row r="368" spans="1:15" x14ac:dyDescent="0.25">
      <c r="A368" s="5" t="s">
        <v>27</v>
      </c>
      <c r="B368" s="6">
        <v>534.67999999999995</v>
      </c>
      <c r="C368" s="6">
        <v>534.67999999999995</v>
      </c>
      <c r="D368" s="6">
        <v>534.67999999999995</v>
      </c>
      <c r="E368" s="6">
        <v>534.67999999999995</v>
      </c>
      <c r="F368" s="6">
        <v>534.67999999999995</v>
      </c>
      <c r="G368" s="6">
        <v>534.67999999999995</v>
      </c>
      <c r="H368" s="6">
        <v>534.67999999999995</v>
      </c>
      <c r="I368" s="6">
        <v>534.67999999999995</v>
      </c>
      <c r="J368" s="6">
        <v>0</v>
      </c>
      <c r="K368" s="6">
        <v>401.01</v>
      </c>
      <c r="L368" s="6">
        <v>401.01</v>
      </c>
      <c r="M368" s="6">
        <v>401.01</v>
      </c>
      <c r="N368" s="7">
        <f t="shared" si="22"/>
        <v>5480.47</v>
      </c>
    </row>
    <row r="369" spans="1:15" x14ac:dyDescent="0.25">
      <c r="A369" s="5" t="s">
        <v>28</v>
      </c>
      <c r="B369" s="6">
        <v>1917.54</v>
      </c>
      <c r="C369" s="6">
        <v>1917.54</v>
      </c>
      <c r="D369" s="6">
        <v>1917.54</v>
      </c>
      <c r="E369" s="6">
        <v>1917.54</v>
      </c>
      <c r="F369" s="6">
        <v>3255.23</v>
      </c>
      <c r="G369" s="6">
        <v>2077.1799999999998</v>
      </c>
      <c r="H369" s="6">
        <v>2077.1799999999998</v>
      </c>
      <c r="I369" s="6">
        <v>2081.9</v>
      </c>
      <c r="J369" s="6">
        <v>1547.22</v>
      </c>
      <c r="K369" s="6">
        <v>1285.4000000000001</v>
      </c>
      <c r="L369" s="6">
        <v>1948.23</v>
      </c>
      <c r="M369" s="6">
        <v>1948.23</v>
      </c>
      <c r="N369" s="7">
        <f t="shared" si="22"/>
        <v>23890.730000000003</v>
      </c>
    </row>
    <row r="371" spans="1:15" ht="15.75" x14ac:dyDescent="0.25">
      <c r="A371" s="2" t="s">
        <v>51</v>
      </c>
    </row>
    <row r="372" spans="1:15" x14ac:dyDescent="0.25">
      <c r="A372" s="3" t="s">
        <v>2</v>
      </c>
      <c r="B372" s="4" t="s">
        <v>3</v>
      </c>
      <c r="C372" s="4" t="s">
        <v>4</v>
      </c>
      <c r="D372" s="4" t="s">
        <v>5</v>
      </c>
      <c r="E372" s="4" t="s">
        <v>6</v>
      </c>
      <c r="F372" s="4" t="s">
        <v>7</v>
      </c>
      <c r="G372" s="4" t="s">
        <v>8</v>
      </c>
      <c r="H372" s="4" t="s">
        <v>9</v>
      </c>
      <c r="I372" s="4" t="s">
        <v>10</v>
      </c>
      <c r="J372" s="4" t="s">
        <v>11</v>
      </c>
      <c r="K372" s="4" t="s">
        <v>12</v>
      </c>
      <c r="L372" s="4" t="s">
        <v>13</v>
      </c>
      <c r="M372" s="4" t="s">
        <v>14</v>
      </c>
      <c r="N372" s="4" t="s">
        <v>15</v>
      </c>
    </row>
    <row r="373" spans="1:15" x14ac:dyDescent="0.25">
      <c r="A373" s="5" t="s">
        <v>16</v>
      </c>
      <c r="B373" s="6">
        <v>3260.69</v>
      </c>
      <c r="C373" s="6">
        <v>3260.69</v>
      </c>
      <c r="D373" s="6">
        <v>3260.69</v>
      </c>
      <c r="E373" s="6">
        <v>3260.69</v>
      </c>
      <c r="F373" s="6">
        <v>3260.69</v>
      </c>
      <c r="G373" s="6">
        <v>3260.69</v>
      </c>
      <c r="H373" s="6">
        <v>3260.69</v>
      </c>
      <c r="I373" s="6">
        <v>3260.69</v>
      </c>
      <c r="J373" s="6">
        <v>3260.69</v>
      </c>
      <c r="K373" s="6">
        <v>3260.69</v>
      </c>
      <c r="L373" s="6">
        <v>3260.69</v>
      </c>
      <c r="M373" s="6">
        <v>3260.69</v>
      </c>
      <c r="N373" s="7">
        <f t="shared" ref="N373:N385" si="23">SUM(B373:M373)</f>
        <v>39128.28</v>
      </c>
    </row>
    <row r="374" spans="1:15" x14ac:dyDescent="0.25">
      <c r="A374" s="8" t="s">
        <v>17</v>
      </c>
      <c r="B374" s="9">
        <v>7410.65</v>
      </c>
      <c r="C374" s="9">
        <v>7410.65</v>
      </c>
      <c r="D374" s="9">
        <v>7410.65</v>
      </c>
      <c r="E374" s="9">
        <v>7410.65</v>
      </c>
      <c r="F374" s="9">
        <v>7410.65</v>
      </c>
      <c r="G374" s="9">
        <v>7410.65</v>
      </c>
      <c r="H374" s="9">
        <v>7410.65</v>
      </c>
      <c r="I374" s="9">
        <v>7410.65</v>
      </c>
      <c r="J374" s="9">
        <v>7410.65</v>
      </c>
      <c r="K374" s="9">
        <v>7410.65</v>
      </c>
      <c r="L374" s="9">
        <v>7410.65</v>
      </c>
      <c r="M374" s="9">
        <v>7410.65</v>
      </c>
      <c r="N374" s="10">
        <f t="shared" si="23"/>
        <v>88927.799999999988</v>
      </c>
    </row>
    <row r="375" spans="1:15" x14ac:dyDescent="0.25">
      <c r="A375" s="8" t="s">
        <v>18</v>
      </c>
      <c r="B375" s="9">
        <v>1037.49</v>
      </c>
      <c r="C375" s="9">
        <v>1037.49</v>
      </c>
      <c r="D375" s="9">
        <v>1037.49</v>
      </c>
      <c r="E375" s="9">
        <v>1037.49</v>
      </c>
      <c r="F375" s="9">
        <v>1037.49</v>
      </c>
      <c r="G375" s="9">
        <v>1037.49</v>
      </c>
      <c r="H375" s="9">
        <v>1037.49</v>
      </c>
      <c r="I375" s="9">
        <v>1037.49</v>
      </c>
      <c r="J375" s="9">
        <v>1037.49</v>
      </c>
      <c r="K375" s="9">
        <v>1037.49</v>
      </c>
      <c r="L375" s="9">
        <v>1037.49</v>
      </c>
      <c r="M375" s="9">
        <v>1037.49</v>
      </c>
      <c r="N375" s="10">
        <f t="shared" si="23"/>
        <v>12449.88</v>
      </c>
    </row>
    <row r="376" spans="1:15" x14ac:dyDescent="0.25">
      <c r="A376" s="8" t="s">
        <v>19</v>
      </c>
      <c r="B376" s="9">
        <v>5540</v>
      </c>
      <c r="C376" s="9">
        <v>5540</v>
      </c>
      <c r="D376" s="9">
        <v>5820</v>
      </c>
      <c r="E376" s="9">
        <v>6060</v>
      </c>
      <c r="F376" s="9">
        <v>6060</v>
      </c>
      <c r="G376" s="9">
        <v>6060</v>
      </c>
      <c r="H376" s="9">
        <v>6200</v>
      </c>
      <c r="I376" s="9">
        <v>6200</v>
      </c>
      <c r="J376" s="9">
        <v>6620</v>
      </c>
      <c r="K376" s="9">
        <v>6520</v>
      </c>
      <c r="L376" s="9">
        <v>6520</v>
      </c>
      <c r="M376" s="9">
        <v>6580</v>
      </c>
      <c r="N376" s="10">
        <f t="shared" si="23"/>
        <v>73720</v>
      </c>
      <c r="O376" s="12">
        <f>SUM(H376:M376)</f>
        <v>38640</v>
      </c>
    </row>
    <row r="377" spans="1:15" x14ac:dyDescent="0.25">
      <c r="A377" s="8" t="s">
        <v>20</v>
      </c>
      <c r="B377" s="9">
        <v>100</v>
      </c>
      <c r="C377" s="9">
        <v>100</v>
      </c>
      <c r="D377" s="9">
        <v>100</v>
      </c>
      <c r="E377" s="9">
        <v>100</v>
      </c>
      <c r="F377" s="9">
        <v>100</v>
      </c>
      <c r="G377" s="9">
        <v>100</v>
      </c>
      <c r="H377" s="9">
        <v>100</v>
      </c>
      <c r="I377" s="9">
        <v>100</v>
      </c>
      <c r="J377" s="9">
        <v>100</v>
      </c>
      <c r="K377" s="9">
        <v>100</v>
      </c>
      <c r="L377" s="9">
        <v>100</v>
      </c>
      <c r="M377" s="9">
        <v>100</v>
      </c>
      <c r="N377" s="10">
        <f t="shared" si="23"/>
        <v>1200</v>
      </c>
    </row>
    <row r="378" spans="1:15" x14ac:dyDescent="0.25">
      <c r="A378" s="8" t="s">
        <v>21</v>
      </c>
      <c r="B378" s="9">
        <v>3896.48</v>
      </c>
      <c r="C378" s="9">
        <v>3759.28</v>
      </c>
      <c r="D378" s="9">
        <v>3978.8</v>
      </c>
      <c r="E378" s="9">
        <v>4102.28</v>
      </c>
      <c r="F378" s="9">
        <v>4102.28</v>
      </c>
      <c r="G378" s="9">
        <v>4102.28</v>
      </c>
      <c r="H378" s="9">
        <v>4170.88</v>
      </c>
      <c r="I378" s="9">
        <v>4529.6000000000004</v>
      </c>
      <c r="J378" s="9">
        <v>4708.3999999999996</v>
      </c>
      <c r="K378" s="9">
        <v>4708.3999999999996</v>
      </c>
      <c r="L378" s="9">
        <v>4440.2</v>
      </c>
      <c r="M378" s="9">
        <v>4484.8999999999996</v>
      </c>
      <c r="N378" s="10">
        <f t="shared" si="23"/>
        <v>50983.78</v>
      </c>
      <c r="O378" s="12">
        <f>SUM(H378:M378)</f>
        <v>27042.379999999997</v>
      </c>
    </row>
    <row r="379" spans="1:15" x14ac:dyDescent="0.25">
      <c r="A379" s="8" t="s">
        <v>22</v>
      </c>
      <c r="B379" s="9">
        <v>137.19999999999999</v>
      </c>
      <c r="C379" s="9">
        <v>137.19999999999999</v>
      </c>
      <c r="D379" s="9">
        <v>137.19999999999999</v>
      </c>
      <c r="E379" s="9">
        <v>137.19999999999999</v>
      </c>
      <c r="F379" s="9">
        <v>137.19999999999999</v>
      </c>
      <c r="G379" s="9">
        <v>137.19999999999999</v>
      </c>
      <c r="H379" s="9">
        <v>137.19999999999999</v>
      </c>
      <c r="I379" s="9">
        <v>149</v>
      </c>
      <c r="J379" s="9">
        <v>149</v>
      </c>
      <c r="K379" s="9">
        <v>149</v>
      </c>
      <c r="L379" s="9">
        <v>149</v>
      </c>
      <c r="M379" s="9">
        <v>149</v>
      </c>
      <c r="N379" s="10">
        <f t="shared" si="23"/>
        <v>1705.4</v>
      </c>
    </row>
    <row r="380" spans="1:15" x14ac:dyDescent="0.25">
      <c r="A380" s="8" t="s">
        <v>23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>
        <f t="shared" si="23"/>
        <v>0</v>
      </c>
    </row>
    <row r="381" spans="1:15" x14ac:dyDescent="0.25">
      <c r="A381" s="8" t="s">
        <v>24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0">
        <f t="shared" si="23"/>
        <v>0</v>
      </c>
    </row>
    <row r="382" spans="1:15" x14ac:dyDescent="0.25">
      <c r="A382" s="5" t="s">
        <v>25</v>
      </c>
      <c r="B382" s="6">
        <v>17984.62</v>
      </c>
      <c r="C382" s="6">
        <v>17984.62</v>
      </c>
      <c r="D382" s="6">
        <v>18484.14</v>
      </c>
      <c r="E382" s="6">
        <v>18847.62</v>
      </c>
      <c r="F382" s="6">
        <v>18847.62</v>
      </c>
      <c r="G382" s="6">
        <v>18847.62</v>
      </c>
      <c r="H382" s="6">
        <v>19056.22</v>
      </c>
      <c r="I382" s="6">
        <v>19426.740000000002</v>
      </c>
      <c r="J382" s="6">
        <v>19925.54</v>
      </c>
      <c r="K382" s="6">
        <v>19765.599999999999</v>
      </c>
      <c r="L382" s="6">
        <v>19657.34</v>
      </c>
      <c r="M382" s="6">
        <v>19762.04</v>
      </c>
      <c r="N382" s="7">
        <f t="shared" si="23"/>
        <v>228589.72</v>
      </c>
    </row>
    <row r="383" spans="1:15" x14ac:dyDescent="0.25">
      <c r="A383" s="5" t="s">
        <v>26</v>
      </c>
      <c r="B383" s="6">
        <v>1800</v>
      </c>
      <c r="C383" s="6">
        <v>1800</v>
      </c>
      <c r="D383" s="6">
        <v>1740</v>
      </c>
      <c r="E383" s="6">
        <v>1740</v>
      </c>
      <c r="F383" s="6">
        <v>1740</v>
      </c>
      <c r="G383" s="6">
        <v>1740</v>
      </c>
      <c r="H383" s="6">
        <v>1740</v>
      </c>
      <c r="I383" s="6">
        <v>1740</v>
      </c>
      <c r="J383" s="6">
        <v>1860</v>
      </c>
      <c r="K383" s="6">
        <v>1860</v>
      </c>
      <c r="L383" s="6">
        <v>1860</v>
      </c>
      <c r="M383" s="6">
        <v>1920</v>
      </c>
      <c r="N383" s="7">
        <f t="shared" si="23"/>
        <v>21540</v>
      </c>
    </row>
    <row r="384" spans="1:15" x14ac:dyDescent="0.25">
      <c r="A384" s="5" t="s">
        <v>27</v>
      </c>
      <c r="B384" s="6">
        <v>1482.13</v>
      </c>
      <c r="C384" s="6">
        <v>1482.13</v>
      </c>
      <c r="D384" s="6">
        <v>1482.13</v>
      </c>
      <c r="E384" s="6">
        <v>1482.13</v>
      </c>
      <c r="F384" s="6">
        <v>1482.13</v>
      </c>
      <c r="G384" s="6">
        <v>1482.13</v>
      </c>
      <c r="H384" s="6">
        <v>1482.13</v>
      </c>
      <c r="I384" s="6">
        <v>1482.13</v>
      </c>
      <c r="J384" s="6">
        <v>1482.13</v>
      </c>
      <c r="K384" s="6">
        <v>1482.13</v>
      </c>
      <c r="L384" s="6">
        <v>1482.13</v>
      </c>
      <c r="M384" s="6">
        <v>1482.13</v>
      </c>
      <c r="N384" s="7">
        <f t="shared" si="23"/>
        <v>17785.560000000005</v>
      </c>
    </row>
    <row r="385" spans="1:15" x14ac:dyDescent="0.25">
      <c r="A385" s="5" t="s">
        <v>28</v>
      </c>
      <c r="B385" s="6">
        <v>24527.439999999999</v>
      </c>
      <c r="C385" s="6">
        <v>24527.439999999999</v>
      </c>
      <c r="D385" s="6">
        <v>24966.959999999999</v>
      </c>
      <c r="E385" s="6">
        <v>25330.44</v>
      </c>
      <c r="F385" s="6">
        <v>6482.82</v>
      </c>
      <c r="G385" s="6">
        <v>6482.82</v>
      </c>
      <c r="H385" s="6">
        <v>6405.03</v>
      </c>
      <c r="I385" s="6">
        <v>25909.56</v>
      </c>
      <c r="J385" s="6">
        <v>4305.0200000000004</v>
      </c>
      <c r="K385" s="6">
        <v>26368.42</v>
      </c>
      <c r="L385" s="6">
        <v>26260.16</v>
      </c>
      <c r="M385" s="6">
        <v>26424.86</v>
      </c>
      <c r="N385" s="7">
        <f t="shared" si="23"/>
        <v>227990.97000000003</v>
      </c>
    </row>
    <row r="387" spans="1:15" ht="15.75" x14ac:dyDescent="0.25">
      <c r="A387" s="2" t="s">
        <v>52</v>
      </c>
    </row>
    <row r="388" spans="1:15" x14ac:dyDescent="0.25">
      <c r="A388" s="3" t="s">
        <v>2</v>
      </c>
      <c r="B388" s="4" t="s">
        <v>3</v>
      </c>
      <c r="C388" s="4" t="s">
        <v>4</v>
      </c>
      <c r="D388" s="4" t="s">
        <v>5</v>
      </c>
      <c r="E388" s="4" t="s">
        <v>6</v>
      </c>
      <c r="F388" s="4" t="s">
        <v>7</v>
      </c>
      <c r="G388" s="4" t="s">
        <v>8</v>
      </c>
      <c r="H388" s="4" t="s">
        <v>9</v>
      </c>
      <c r="I388" s="4" t="s">
        <v>10</v>
      </c>
      <c r="J388" s="4" t="s">
        <v>11</v>
      </c>
      <c r="K388" s="4" t="s">
        <v>12</v>
      </c>
      <c r="L388" s="4" t="s">
        <v>13</v>
      </c>
      <c r="M388" s="4" t="s">
        <v>14</v>
      </c>
      <c r="N388" s="4" t="s">
        <v>15</v>
      </c>
    </row>
    <row r="389" spans="1:15" x14ac:dyDescent="0.25">
      <c r="A389" s="5" t="s">
        <v>16</v>
      </c>
      <c r="B389" s="6">
        <v>1284.94</v>
      </c>
      <c r="C389" s="6">
        <v>1284.94</v>
      </c>
      <c r="D389" s="6">
        <v>1284.94</v>
      </c>
      <c r="E389" s="6">
        <v>1284.94</v>
      </c>
      <c r="F389" s="6">
        <v>1284.94</v>
      </c>
      <c r="G389" s="6">
        <v>1284.94</v>
      </c>
      <c r="H389" s="6">
        <v>1284.94</v>
      </c>
      <c r="I389" s="6">
        <v>1284.94</v>
      </c>
      <c r="J389" s="6">
        <v>1284.94</v>
      </c>
      <c r="K389" s="6">
        <v>1284.94</v>
      </c>
      <c r="L389" s="6">
        <v>1284.94</v>
      </c>
      <c r="M389" s="6">
        <v>1284.94</v>
      </c>
      <c r="N389" s="7">
        <f t="shared" ref="N389:N401" si="24">SUM(B389:M389)</f>
        <v>15419.280000000004</v>
      </c>
    </row>
    <row r="390" spans="1:15" x14ac:dyDescent="0.25">
      <c r="A390" s="8" t="s">
        <v>17</v>
      </c>
      <c r="B390" s="9">
        <v>3352.02</v>
      </c>
      <c r="C390" s="9">
        <v>3352.02</v>
      </c>
      <c r="D390" s="9">
        <v>3352.02</v>
      </c>
      <c r="E390" s="9">
        <v>3352.02</v>
      </c>
      <c r="F390" s="9">
        <v>3352.02</v>
      </c>
      <c r="G390" s="9">
        <v>3352.02</v>
      </c>
      <c r="H390" s="9">
        <v>3352.02</v>
      </c>
      <c r="I390" s="9">
        <v>3352.02</v>
      </c>
      <c r="J390" s="9">
        <v>3352.02</v>
      </c>
      <c r="K390" s="9">
        <v>3352.02</v>
      </c>
      <c r="L390" s="9">
        <v>3352.02</v>
      </c>
      <c r="M390" s="9">
        <v>3352.02</v>
      </c>
      <c r="N390" s="10">
        <f t="shared" si="24"/>
        <v>40224.239999999991</v>
      </c>
    </row>
    <row r="391" spans="1:15" x14ac:dyDescent="0.25">
      <c r="A391" s="8" t="s">
        <v>18</v>
      </c>
      <c r="B391" s="9">
        <v>279.33999999999997</v>
      </c>
      <c r="C391" s="9">
        <v>279.33999999999997</v>
      </c>
      <c r="D391" s="9">
        <v>279.33999999999997</v>
      </c>
      <c r="E391" s="9">
        <v>279.33999999999997</v>
      </c>
      <c r="F391" s="9">
        <v>279.33999999999997</v>
      </c>
      <c r="G391" s="9">
        <v>279.33999999999997</v>
      </c>
      <c r="H391" s="9">
        <v>279.33999999999997</v>
      </c>
      <c r="I391" s="9">
        <v>279.33999999999997</v>
      </c>
      <c r="J391" s="9">
        <v>279.33999999999997</v>
      </c>
      <c r="K391" s="9">
        <v>279.33999999999997</v>
      </c>
      <c r="L391" s="9">
        <v>279.33999999999997</v>
      </c>
      <c r="M391" s="9">
        <v>279.33999999999997</v>
      </c>
      <c r="N391" s="10">
        <f t="shared" si="24"/>
        <v>3352.0800000000004</v>
      </c>
    </row>
    <row r="392" spans="1:15" x14ac:dyDescent="0.25">
      <c r="A392" s="8" t="s">
        <v>19</v>
      </c>
      <c r="B392" s="9">
        <v>1515</v>
      </c>
      <c r="C392" s="9">
        <v>1515</v>
      </c>
      <c r="D392" s="9">
        <v>1605</v>
      </c>
      <c r="E392" s="9">
        <v>1605</v>
      </c>
      <c r="F392" s="9">
        <v>1605</v>
      </c>
      <c r="G392" s="9">
        <v>1605</v>
      </c>
      <c r="H392" s="9">
        <v>1605</v>
      </c>
      <c r="I392" s="9">
        <v>1605</v>
      </c>
      <c r="J392" s="9">
        <v>1725</v>
      </c>
      <c r="K392" s="9">
        <v>1665</v>
      </c>
      <c r="L392" s="9">
        <v>1665</v>
      </c>
      <c r="M392" s="9">
        <v>1665</v>
      </c>
      <c r="N392" s="10">
        <f t="shared" si="24"/>
        <v>19380</v>
      </c>
      <c r="O392">
        <f>SUM(H392:M392)</f>
        <v>9930</v>
      </c>
    </row>
    <row r="393" spans="1:15" x14ac:dyDescent="0.25">
      <c r="A393" s="8" t="s">
        <v>20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0">
        <f t="shared" si="24"/>
        <v>0</v>
      </c>
    </row>
    <row r="394" spans="1:15" x14ac:dyDescent="0.25">
      <c r="A394" s="8" t="s">
        <v>21</v>
      </c>
      <c r="B394" s="9">
        <v>1310.26</v>
      </c>
      <c r="C394" s="9">
        <v>1310.26</v>
      </c>
      <c r="D394" s="9">
        <v>1365.14</v>
      </c>
      <c r="E394" s="9">
        <v>1365.14</v>
      </c>
      <c r="F394" s="9">
        <v>1365.14</v>
      </c>
      <c r="G394" s="9">
        <v>1365.14</v>
      </c>
      <c r="H394" s="9">
        <v>1365.14</v>
      </c>
      <c r="I394" s="9">
        <v>1482.55</v>
      </c>
      <c r="J394" s="9">
        <v>1571.95</v>
      </c>
      <c r="K394" s="9">
        <v>1527.25</v>
      </c>
      <c r="L394" s="9">
        <v>1527.25</v>
      </c>
      <c r="M394" s="9">
        <v>1527.25</v>
      </c>
      <c r="N394" s="10">
        <f t="shared" si="24"/>
        <v>17082.47</v>
      </c>
      <c r="O394" s="12">
        <f>SUM(H394:M394)</f>
        <v>9001.39</v>
      </c>
    </row>
    <row r="395" spans="1:15" x14ac:dyDescent="0.25">
      <c r="A395" s="8" t="s">
        <v>22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0">
        <f t="shared" si="24"/>
        <v>0</v>
      </c>
    </row>
    <row r="396" spans="1:15" x14ac:dyDescent="0.25">
      <c r="A396" s="8" t="s">
        <v>23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0">
        <f t="shared" si="24"/>
        <v>0</v>
      </c>
    </row>
    <row r="397" spans="1:15" x14ac:dyDescent="0.25">
      <c r="A397" s="8" t="s">
        <v>24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0">
        <f t="shared" si="24"/>
        <v>0</v>
      </c>
    </row>
    <row r="398" spans="1:15" x14ac:dyDescent="0.25">
      <c r="A398" s="5" t="s">
        <v>25</v>
      </c>
      <c r="B398" s="6">
        <v>6456.62</v>
      </c>
      <c r="C398" s="6">
        <v>6456.62</v>
      </c>
      <c r="D398" s="6">
        <v>6601.5</v>
      </c>
      <c r="E398" s="6">
        <v>6601.5</v>
      </c>
      <c r="F398" s="6">
        <v>6601.5</v>
      </c>
      <c r="G398" s="6">
        <v>6601.5</v>
      </c>
      <c r="H398" s="6">
        <v>0</v>
      </c>
      <c r="I398" s="6">
        <v>3267.07</v>
      </c>
      <c r="J398" s="6">
        <v>6928.31</v>
      </c>
      <c r="K398" s="6">
        <v>6823.61</v>
      </c>
      <c r="L398" s="6">
        <v>6823.61</v>
      </c>
      <c r="M398" s="6">
        <v>6823.61</v>
      </c>
      <c r="N398" s="7">
        <f t="shared" si="24"/>
        <v>69985.45</v>
      </c>
    </row>
    <row r="399" spans="1:15" x14ac:dyDescent="0.25">
      <c r="A399" s="5" t="s">
        <v>26</v>
      </c>
      <c r="B399" s="6">
        <v>780</v>
      </c>
      <c r="C399" s="6">
        <v>780</v>
      </c>
      <c r="D399" s="6">
        <v>780</v>
      </c>
      <c r="E399" s="6">
        <v>780</v>
      </c>
      <c r="F399" s="6">
        <v>780</v>
      </c>
      <c r="G399" s="6">
        <v>780</v>
      </c>
      <c r="H399" s="6">
        <v>780</v>
      </c>
      <c r="I399" s="6">
        <v>780</v>
      </c>
      <c r="J399" s="6">
        <v>900</v>
      </c>
      <c r="K399" s="6">
        <v>840</v>
      </c>
      <c r="L399" s="6">
        <v>840</v>
      </c>
      <c r="M399" s="6">
        <v>840</v>
      </c>
      <c r="N399" s="7">
        <f t="shared" si="24"/>
        <v>9660</v>
      </c>
    </row>
    <row r="400" spans="1:15" x14ac:dyDescent="0.25">
      <c r="A400" s="5" t="s">
        <v>27</v>
      </c>
      <c r="B400" s="6">
        <v>1955.35</v>
      </c>
      <c r="C400" s="6">
        <v>1955.35</v>
      </c>
      <c r="D400" s="6">
        <v>1955.35</v>
      </c>
      <c r="E400" s="6">
        <v>1955.35</v>
      </c>
      <c r="F400" s="6">
        <v>1955.35</v>
      </c>
      <c r="G400" s="6">
        <v>1955.35</v>
      </c>
      <c r="H400" s="6">
        <v>1955.35</v>
      </c>
      <c r="I400" s="6">
        <v>1955.35</v>
      </c>
      <c r="J400" s="6">
        <v>1955.35</v>
      </c>
      <c r="K400" s="6">
        <v>1955.35</v>
      </c>
      <c r="L400" s="6">
        <v>1955.35</v>
      </c>
      <c r="M400" s="6">
        <v>1955.35</v>
      </c>
      <c r="N400" s="7">
        <f t="shared" si="24"/>
        <v>23464.199999999997</v>
      </c>
    </row>
    <row r="401" spans="1:15" x14ac:dyDescent="0.25">
      <c r="A401" s="5" t="s">
        <v>28</v>
      </c>
      <c r="B401" s="6">
        <v>10476.91</v>
      </c>
      <c r="C401" s="6">
        <v>10476.91</v>
      </c>
      <c r="D401" s="6">
        <v>10621.79</v>
      </c>
      <c r="E401" s="6">
        <v>10621.79</v>
      </c>
      <c r="F401" s="6">
        <v>4020.29</v>
      </c>
      <c r="G401" s="6">
        <v>4020.29</v>
      </c>
      <c r="H401" s="6">
        <v>4020.29</v>
      </c>
      <c r="I401" s="6">
        <v>7287.36</v>
      </c>
      <c r="J401" s="6">
        <v>4203.5</v>
      </c>
      <c r="K401" s="6">
        <v>10903.9</v>
      </c>
      <c r="L401" s="6">
        <v>10903.9</v>
      </c>
      <c r="M401" s="6">
        <v>10903.9</v>
      </c>
      <c r="N401" s="7">
        <f t="shared" si="24"/>
        <v>98460.829999999987</v>
      </c>
    </row>
    <row r="403" spans="1:15" ht="15.75" x14ac:dyDescent="0.25">
      <c r="A403" s="2" t="s">
        <v>53</v>
      </c>
    </row>
    <row r="404" spans="1:15" x14ac:dyDescent="0.25">
      <c r="A404" s="3" t="s">
        <v>2</v>
      </c>
      <c r="B404" s="4" t="s">
        <v>3</v>
      </c>
      <c r="C404" s="4" t="s">
        <v>4</v>
      </c>
      <c r="D404" s="4" t="s">
        <v>5</v>
      </c>
      <c r="E404" s="4" t="s">
        <v>6</v>
      </c>
      <c r="F404" s="4" t="s">
        <v>7</v>
      </c>
      <c r="G404" s="4" t="s">
        <v>8</v>
      </c>
      <c r="H404" s="4" t="s">
        <v>9</v>
      </c>
      <c r="I404" s="4" t="s">
        <v>10</v>
      </c>
      <c r="J404" s="4" t="s">
        <v>11</v>
      </c>
      <c r="K404" s="4" t="s">
        <v>12</v>
      </c>
      <c r="L404" s="4" t="s">
        <v>13</v>
      </c>
      <c r="M404" s="4" t="s">
        <v>14</v>
      </c>
      <c r="N404" s="4" t="s">
        <v>15</v>
      </c>
    </row>
    <row r="405" spans="1:15" x14ac:dyDescent="0.25">
      <c r="A405" s="5" t="s">
        <v>16</v>
      </c>
      <c r="B405" s="6">
        <v>1270.06</v>
      </c>
      <c r="C405" s="6">
        <v>1270.06</v>
      </c>
      <c r="D405" s="6">
        <v>1270.06</v>
      </c>
      <c r="E405" s="6">
        <v>1270.06</v>
      </c>
      <c r="F405" s="6">
        <v>1270.06</v>
      </c>
      <c r="G405" s="6">
        <v>1270.06</v>
      </c>
      <c r="H405" s="6">
        <v>1270.06</v>
      </c>
      <c r="I405" s="6">
        <v>1270.06</v>
      </c>
      <c r="J405" s="6">
        <v>1270.06</v>
      </c>
      <c r="K405" s="6">
        <v>1270.06</v>
      </c>
      <c r="L405" s="6">
        <v>1270.06</v>
      </c>
      <c r="M405" s="6">
        <v>1270.06</v>
      </c>
      <c r="N405" s="7">
        <f t="shared" ref="N405:N417" si="25">SUM(B405:M405)</f>
        <v>15240.719999999996</v>
      </c>
    </row>
    <row r="406" spans="1:15" x14ac:dyDescent="0.25">
      <c r="A406" s="8" t="s">
        <v>17</v>
      </c>
      <c r="B406" s="9">
        <v>3175.15</v>
      </c>
      <c r="C406" s="9">
        <v>3175.15</v>
      </c>
      <c r="D406" s="9">
        <v>3175.15</v>
      </c>
      <c r="E406" s="9">
        <v>3175.15</v>
      </c>
      <c r="F406" s="9">
        <v>3175.15</v>
      </c>
      <c r="G406" s="9">
        <v>3175.15</v>
      </c>
      <c r="H406" s="9">
        <v>3175.15</v>
      </c>
      <c r="I406" s="9">
        <v>3175.15</v>
      </c>
      <c r="J406" s="9">
        <v>3175.15</v>
      </c>
      <c r="K406" s="9">
        <v>3175.15</v>
      </c>
      <c r="L406" s="9">
        <v>3175.15</v>
      </c>
      <c r="M406" s="9">
        <v>3175.15</v>
      </c>
      <c r="N406" s="10">
        <f t="shared" si="25"/>
        <v>38101.80000000001</v>
      </c>
    </row>
    <row r="407" spans="1:15" x14ac:dyDescent="0.25">
      <c r="A407" s="8" t="s">
        <v>18</v>
      </c>
      <c r="B407" s="9">
        <v>444.52</v>
      </c>
      <c r="C407" s="9">
        <v>444.52</v>
      </c>
      <c r="D407" s="9">
        <v>444.52</v>
      </c>
      <c r="E407" s="9">
        <v>444.52</v>
      </c>
      <c r="F407" s="9">
        <v>444.52</v>
      </c>
      <c r="G407" s="9">
        <v>444.52</v>
      </c>
      <c r="H407" s="9">
        <v>444.52</v>
      </c>
      <c r="I407" s="9">
        <v>444.52</v>
      </c>
      <c r="J407" s="9">
        <v>444.52</v>
      </c>
      <c r="K407" s="9">
        <v>444.52</v>
      </c>
      <c r="L407" s="9">
        <v>444.52</v>
      </c>
      <c r="M407" s="9">
        <v>444.52</v>
      </c>
      <c r="N407" s="10">
        <f t="shared" si="25"/>
        <v>5334.24</v>
      </c>
    </row>
    <row r="408" spans="1:15" x14ac:dyDescent="0.25">
      <c r="A408" s="8" t="s">
        <v>19</v>
      </c>
      <c r="B408" s="9">
        <v>2352</v>
      </c>
      <c r="C408" s="9">
        <v>2352</v>
      </c>
      <c r="D408" s="9">
        <v>2352</v>
      </c>
      <c r="E408" s="9">
        <v>2392</v>
      </c>
      <c r="F408" s="9">
        <v>2392</v>
      </c>
      <c r="G408" s="9">
        <v>1912</v>
      </c>
      <c r="H408" s="9">
        <v>2152</v>
      </c>
      <c r="I408" s="9">
        <v>2152</v>
      </c>
      <c r="J408" s="9">
        <v>1992</v>
      </c>
      <c r="K408" s="9">
        <v>1992</v>
      </c>
      <c r="L408" s="9">
        <v>1992</v>
      </c>
      <c r="M408" s="9">
        <v>1896</v>
      </c>
      <c r="N408" s="10">
        <f t="shared" si="25"/>
        <v>25928</v>
      </c>
      <c r="O408" s="12">
        <f>SUM(H408:M408)</f>
        <v>12176</v>
      </c>
    </row>
    <row r="409" spans="1:15" x14ac:dyDescent="0.25">
      <c r="A409" s="8" t="s">
        <v>20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0">
        <f t="shared" si="25"/>
        <v>0</v>
      </c>
    </row>
    <row r="410" spans="1:15" x14ac:dyDescent="0.25">
      <c r="A410" s="8" t="s">
        <v>21</v>
      </c>
      <c r="B410" s="9">
        <v>1961.96</v>
      </c>
      <c r="C410" s="9">
        <v>1961.96</v>
      </c>
      <c r="D410" s="9">
        <v>1961.96</v>
      </c>
      <c r="E410" s="9">
        <v>1961.96</v>
      </c>
      <c r="F410" s="9">
        <v>1961.96</v>
      </c>
      <c r="G410" s="9">
        <v>1632.68</v>
      </c>
      <c r="H410" s="9">
        <v>1797.32</v>
      </c>
      <c r="I410" s="9">
        <v>1951.9</v>
      </c>
      <c r="J410" s="9">
        <v>1773.1</v>
      </c>
      <c r="K410" s="9">
        <v>1773.1</v>
      </c>
      <c r="L410" s="9">
        <v>1773.1</v>
      </c>
      <c r="M410" s="9">
        <v>1698.6</v>
      </c>
      <c r="N410" s="10">
        <f t="shared" si="25"/>
        <v>22209.599999999995</v>
      </c>
      <c r="O410" s="12">
        <f>SUM(H410:M410)</f>
        <v>10767.12</v>
      </c>
    </row>
    <row r="411" spans="1:15" x14ac:dyDescent="0.25">
      <c r="A411" s="8" t="s">
        <v>22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0">
        <f t="shared" si="25"/>
        <v>0</v>
      </c>
    </row>
    <row r="412" spans="1:15" x14ac:dyDescent="0.25">
      <c r="A412" s="8" t="s">
        <v>23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0">
        <f t="shared" si="25"/>
        <v>0</v>
      </c>
    </row>
    <row r="413" spans="1:15" x14ac:dyDescent="0.25">
      <c r="A413" s="8" t="s">
        <v>24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0">
        <f t="shared" si="25"/>
        <v>0</v>
      </c>
    </row>
    <row r="414" spans="1:15" x14ac:dyDescent="0.25">
      <c r="A414" s="5" t="s">
        <v>25</v>
      </c>
      <c r="B414" s="6">
        <v>7933.63</v>
      </c>
      <c r="C414" s="6">
        <v>7933.63</v>
      </c>
      <c r="D414" s="6">
        <v>7933.63</v>
      </c>
      <c r="E414" s="6">
        <v>7973.63</v>
      </c>
      <c r="F414" s="6">
        <v>7973.63</v>
      </c>
      <c r="G414" s="6">
        <v>7164.35</v>
      </c>
      <c r="H414" s="6">
        <v>7568.99</v>
      </c>
      <c r="I414" s="6">
        <v>7723.57</v>
      </c>
      <c r="J414" s="6">
        <v>7384.77</v>
      </c>
      <c r="K414" s="6">
        <v>7384.77</v>
      </c>
      <c r="L414" s="6">
        <v>7384.77</v>
      </c>
      <c r="M414" s="6">
        <v>7214.27</v>
      </c>
      <c r="N414" s="7">
        <f t="shared" si="25"/>
        <v>91573.640000000014</v>
      </c>
    </row>
    <row r="415" spans="1:15" x14ac:dyDescent="0.25">
      <c r="A415" s="5" t="s">
        <v>26</v>
      </c>
      <c r="B415" s="6">
        <v>900</v>
      </c>
      <c r="C415" s="6">
        <v>900</v>
      </c>
      <c r="D415" s="6">
        <v>900</v>
      </c>
      <c r="E415" s="6">
        <v>900</v>
      </c>
      <c r="F415" s="6">
        <v>900</v>
      </c>
      <c r="G415" s="6">
        <v>780</v>
      </c>
      <c r="H415" s="6">
        <v>840</v>
      </c>
      <c r="I415" s="6">
        <v>840</v>
      </c>
      <c r="J415" s="6">
        <v>780</v>
      </c>
      <c r="K415" s="6">
        <v>780</v>
      </c>
      <c r="L415" s="6">
        <v>780</v>
      </c>
      <c r="M415" s="6">
        <v>780</v>
      </c>
      <c r="N415" s="7">
        <f t="shared" si="25"/>
        <v>10080</v>
      </c>
    </row>
    <row r="416" spans="1:15" x14ac:dyDescent="0.25">
      <c r="A416" s="5" t="s">
        <v>27</v>
      </c>
      <c r="B416" s="6">
        <v>1778.08</v>
      </c>
      <c r="C416" s="6">
        <v>1778.08</v>
      </c>
      <c r="D416" s="6">
        <v>1778.08</v>
      </c>
      <c r="E416" s="6">
        <v>1778.08</v>
      </c>
      <c r="F416" s="6">
        <v>1778.08</v>
      </c>
      <c r="G416" s="6">
        <v>1778.08</v>
      </c>
      <c r="H416" s="6">
        <v>1778.08</v>
      </c>
      <c r="I416" s="6">
        <v>1778.08</v>
      </c>
      <c r="J416" s="6">
        <v>1778.08</v>
      </c>
      <c r="K416" s="6">
        <v>1778.08</v>
      </c>
      <c r="L416" s="6">
        <v>1778.08</v>
      </c>
      <c r="M416" s="6">
        <v>1778.08</v>
      </c>
      <c r="N416" s="7">
        <f t="shared" si="25"/>
        <v>21336.959999999999</v>
      </c>
    </row>
    <row r="417" spans="1:15" x14ac:dyDescent="0.25">
      <c r="A417" s="5" t="s">
        <v>28</v>
      </c>
      <c r="B417" s="6">
        <v>9110.57</v>
      </c>
      <c r="C417" s="6">
        <v>11881.77</v>
      </c>
      <c r="D417" s="6">
        <v>11881.77</v>
      </c>
      <c r="E417" s="6">
        <v>11921.77</v>
      </c>
      <c r="F417" s="6">
        <v>3948.14</v>
      </c>
      <c r="G417" s="6">
        <v>5985.56</v>
      </c>
      <c r="H417" s="6">
        <v>11457.13</v>
      </c>
      <c r="I417" s="6">
        <v>11611.71</v>
      </c>
      <c r="J417" s="6">
        <v>5384.77</v>
      </c>
      <c r="K417" s="6">
        <v>11212.91</v>
      </c>
      <c r="L417" s="6">
        <v>11212.91</v>
      </c>
      <c r="M417" s="6">
        <v>11042.41</v>
      </c>
      <c r="N417" s="7">
        <f t="shared" si="25"/>
        <v>116651.42000000003</v>
      </c>
    </row>
    <row r="419" spans="1:15" ht="15.75" x14ac:dyDescent="0.25">
      <c r="A419" s="2" t="s">
        <v>54</v>
      </c>
    </row>
    <row r="420" spans="1:15" x14ac:dyDescent="0.25">
      <c r="A420" s="3" t="s">
        <v>2</v>
      </c>
      <c r="B420" s="4" t="s">
        <v>3</v>
      </c>
      <c r="C420" s="4" t="s">
        <v>4</v>
      </c>
      <c r="D420" s="4" t="s">
        <v>5</v>
      </c>
      <c r="E420" s="4" t="s">
        <v>6</v>
      </c>
      <c r="F420" s="4" t="s">
        <v>7</v>
      </c>
      <c r="G420" s="4" t="s">
        <v>8</v>
      </c>
      <c r="H420" s="4" t="s">
        <v>9</v>
      </c>
      <c r="I420" s="4" t="s">
        <v>10</v>
      </c>
      <c r="J420" s="4" t="s">
        <v>11</v>
      </c>
      <c r="K420" s="4" t="s">
        <v>12</v>
      </c>
      <c r="L420" s="4" t="s">
        <v>13</v>
      </c>
      <c r="M420" s="4" t="s">
        <v>14</v>
      </c>
      <c r="N420" s="4" t="s">
        <v>15</v>
      </c>
    </row>
    <row r="421" spans="1:15" x14ac:dyDescent="0.25">
      <c r="A421" s="5" t="s">
        <v>16</v>
      </c>
      <c r="B421" s="6">
        <v>5213.46</v>
      </c>
      <c r="C421" s="6">
        <v>5213.46</v>
      </c>
      <c r="D421" s="6">
        <v>5213.46</v>
      </c>
      <c r="E421" s="6">
        <v>5213.46</v>
      </c>
      <c r="F421" s="6">
        <v>5213.46</v>
      </c>
      <c r="G421" s="6">
        <v>5213.46</v>
      </c>
      <c r="H421" s="6">
        <v>5213.46</v>
      </c>
      <c r="I421" s="6">
        <v>5213.46</v>
      </c>
      <c r="J421" s="6">
        <v>5213.46</v>
      </c>
      <c r="K421" s="6">
        <v>5213.46</v>
      </c>
      <c r="L421" s="6">
        <v>5213.46</v>
      </c>
      <c r="M421" s="6">
        <v>5213.46</v>
      </c>
      <c r="N421" s="7">
        <f t="shared" ref="N421:N433" si="26">SUM(B421:M421)</f>
        <v>62561.52</v>
      </c>
    </row>
    <row r="422" spans="1:15" x14ac:dyDescent="0.25">
      <c r="A422" s="8" t="s">
        <v>17</v>
      </c>
      <c r="B422" s="9">
        <v>7447.8</v>
      </c>
      <c r="C422" s="9">
        <v>7447.8</v>
      </c>
      <c r="D422" s="9">
        <v>7447.8</v>
      </c>
      <c r="E422" s="9">
        <v>7447.8</v>
      </c>
      <c r="F422" s="9">
        <v>7447.8</v>
      </c>
      <c r="G422" s="9">
        <v>7447.8</v>
      </c>
      <c r="H422" s="9">
        <v>7447.8</v>
      </c>
      <c r="I422" s="9">
        <v>7447.8</v>
      </c>
      <c r="J422" s="9">
        <v>7447.8</v>
      </c>
      <c r="K422" s="9">
        <v>7447.8</v>
      </c>
      <c r="L422" s="9">
        <v>7447.8</v>
      </c>
      <c r="M422" s="9">
        <v>7447.8</v>
      </c>
      <c r="N422" s="10">
        <f t="shared" si="26"/>
        <v>89373.60000000002</v>
      </c>
    </row>
    <row r="423" spans="1:15" x14ac:dyDescent="0.25">
      <c r="A423" s="8" t="s">
        <v>18</v>
      </c>
      <c r="B423" s="9">
        <v>1042.69</v>
      </c>
      <c r="C423" s="9">
        <v>1042.69</v>
      </c>
      <c r="D423" s="9">
        <v>1042.69</v>
      </c>
      <c r="E423" s="9">
        <v>1042.69</v>
      </c>
      <c r="F423" s="9">
        <v>1042.69</v>
      </c>
      <c r="G423" s="9">
        <v>1042.69</v>
      </c>
      <c r="H423" s="9">
        <v>1042.69</v>
      </c>
      <c r="I423" s="9">
        <v>1042.69</v>
      </c>
      <c r="J423" s="9">
        <v>1042.69</v>
      </c>
      <c r="K423" s="9">
        <v>1042.69</v>
      </c>
      <c r="L423" s="9">
        <v>1042.69</v>
      </c>
      <c r="M423" s="9">
        <v>1042.69</v>
      </c>
      <c r="N423" s="10">
        <f t="shared" si="26"/>
        <v>12512.280000000004</v>
      </c>
    </row>
    <row r="424" spans="1:15" x14ac:dyDescent="0.25">
      <c r="A424" s="8" t="s">
        <v>19</v>
      </c>
      <c r="B424" s="9">
        <v>7780</v>
      </c>
      <c r="C424" s="9">
        <v>7780</v>
      </c>
      <c r="D424" s="9">
        <v>7780</v>
      </c>
      <c r="E424" s="9">
        <v>7940</v>
      </c>
      <c r="F424" s="9">
        <v>7940</v>
      </c>
      <c r="G424" s="9">
        <v>7940</v>
      </c>
      <c r="H424" s="9">
        <v>7940</v>
      </c>
      <c r="I424" s="9">
        <v>7540</v>
      </c>
      <c r="J424" s="9">
        <v>7540</v>
      </c>
      <c r="K424" s="9">
        <v>7540</v>
      </c>
      <c r="L424" s="9">
        <v>7540</v>
      </c>
      <c r="M424" s="9">
        <v>7540</v>
      </c>
      <c r="N424" s="10">
        <f t="shared" si="26"/>
        <v>92800</v>
      </c>
      <c r="O424" s="12">
        <f>SUM(H424:M424)</f>
        <v>45640</v>
      </c>
    </row>
    <row r="425" spans="1:15" x14ac:dyDescent="0.25">
      <c r="A425" s="8" t="s">
        <v>20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0">
        <f t="shared" si="26"/>
        <v>0</v>
      </c>
    </row>
    <row r="426" spans="1:15" x14ac:dyDescent="0.25">
      <c r="A426" s="8" t="s">
        <v>21</v>
      </c>
      <c r="B426" s="9">
        <v>4980.3599999999997</v>
      </c>
      <c r="C426" s="9">
        <v>4980.3599999999997</v>
      </c>
      <c r="D426" s="9">
        <v>4980.3599999999997</v>
      </c>
      <c r="E426" s="9">
        <v>5062.68</v>
      </c>
      <c r="F426" s="9">
        <v>5062.68</v>
      </c>
      <c r="G426" s="9">
        <v>5062.68</v>
      </c>
      <c r="H426" s="9">
        <v>5062.68</v>
      </c>
      <c r="I426" s="9">
        <v>5274.6</v>
      </c>
      <c r="J426" s="9">
        <v>5274.6</v>
      </c>
      <c r="K426" s="9">
        <v>5274.6</v>
      </c>
      <c r="L426" s="9">
        <v>5274.6</v>
      </c>
      <c r="M426" s="9">
        <v>5274.6</v>
      </c>
      <c r="N426" s="10">
        <f t="shared" si="26"/>
        <v>61564.799999999996</v>
      </c>
      <c r="O426" s="12">
        <f>SUM(H426:M426)</f>
        <v>31435.68</v>
      </c>
    </row>
    <row r="427" spans="1:15" x14ac:dyDescent="0.25">
      <c r="A427" s="8" t="s">
        <v>22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0">
        <f t="shared" si="26"/>
        <v>0</v>
      </c>
    </row>
    <row r="428" spans="1:15" x14ac:dyDescent="0.25">
      <c r="A428" s="8" t="s">
        <v>23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0">
        <f t="shared" si="26"/>
        <v>0</v>
      </c>
    </row>
    <row r="429" spans="1:15" x14ac:dyDescent="0.25">
      <c r="A429" s="8" t="s">
        <v>24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0">
        <f t="shared" si="26"/>
        <v>0</v>
      </c>
    </row>
    <row r="430" spans="1:15" x14ac:dyDescent="0.25">
      <c r="A430" s="5" t="s">
        <v>25</v>
      </c>
      <c r="B430" s="6">
        <v>21250.85</v>
      </c>
      <c r="C430" s="6">
        <v>21250.85</v>
      </c>
      <c r="D430" s="6">
        <v>21250.85</v>
      </c>
      <c r="E430" s="6">
        <v>21493.17</v>
      </c>
      <c r="F430" s="6">
        <v>21493.17</v>
      </c>
      <c r="G430" s="6">
        <v>21493.17</v>
      </c>
      <c r="H430" s="6">
        <v>0</v>
      </c>
      <c r="I430" s="6">
        <v>8109.74</v>
      </c>
      <c r="J430" s="6">
        <v>21305.09</v>
      </c>
      <c r="K430" s="6">
        <v>7614.68</v>
      </c>
      <c r="L430" s="6">
        <v>21305.09</v>
      </c>
      <c r="M430" s="6">
        <v>21305.09</v>
      </c>
      <c r="N430" s="7">
        <f t="shared" si="26"/>
        <v>207871.74999999997</v>
      </c>
    </row>
    <row r="431" spans="1:15" x14ac:dyDescent="0.25">
      <c r="A431" s="5" t="s">
        <v>26</v>
      </c>
      <c r="B431" s="6">
        <v>2040</v>
      </c>
      <c r="C431" s="6">
        <v>2040</v>
      </c>
      <c r="D431" s="6">
        <v>2040</v>
      </c>
      <c r="E431" s="6">
        <v>2100</v>
      </c>
      <c r="F431" s="6">
        <v>2100</v>
      </c>
      <c r="G431" s="6">
        <v>2100</v>
      </c>
      <c r="H431" s="6">
        <v>2100</v>
      </c>
      <c r="I431" s="6">
        <v>2040</v>
      </c>
      <c r="J431" s="6">
        <v>2040</v>
      </c>
      <c r="K431" s="6">
        <v>2040</v>
      </c>
      <c r="L431" s="6">
        <v>2040</v>
      </c>
      <c r="M431" s="6">
        <v>2040</v>
      </c>
      <c r="N431" s="7">
        <f t="shared" si="26"/>
        <v>24720</v>
      </c>
    </row>
    <row r="432" spans="1:15" x14ac:dyDescent="0.25">
      <c r="A432" s="5" t="s">
        <v>27</v>
      </c>
      <c r="B432" s="6">
        <v>5213.46</v>
      </c>
      <c r="C432" s="6">
        <v>5213.46</v>
      </c>
      <c r="D432" s="6">
        <v>5213.46</v>
      </c>
      <c r="E432" s="6">
        <v>5213.46</v>
      </c>
      <c r="F432" s="6">
        <v>5213.46</v>
      </c>
      <c r="G432" s="6">
        <v>5213.46</v>
      </c>
      <c r="H432" s="6">
        <v>5213.46</v>
      </c>
      <c r="I432" s="6">
        <v>5213.46</v>
      </c>
      <c r="J432" s="6">
        <v>5213.46</v>
      </c>
      <c r="K432" s="6">
        <v>5213.46</v>
      </c>
      <c r="L432" s="6">
        <v>5213.46</v>
      </c>
      <c r="M432" s="6">
        <v>5213.46</v>
      </c>
      <c r="N432" s="7">
        <f t="shared" si="26"/>
        <v>62561.52</v>
      </c>
    </row>
    <row r="433" spans="1:15" x14ac:dyDescent="0.25">
      <c r="A433" s="5" t="s">
        <v>28</v>
      </c>
      <c r="B433" s="6">
        <v>33717.769999999997</v>
      </c>
      <c r="C433" s="6">
        <v>33717.769999999997</v>
      </c>
      <c r="D433" s="6">
        <v>33717.769999999997</v>
      </c>
      <c r="E433" s="6">
        <v>34020.089999999997</v>
      </c>
      <c r="F433" s="6">
        <v>34020.089999999997</v>
      </c>
      <c r="G433" s="6">
        <v>14558.66</v>
      </c>
      <c r="H433" s="6">
        <v>12526.92</v>
      </c>
      <c r="I433" s="6">
        <v>20576.66</v>
      </c>
      <c r="J433" s="6">
        <v>12466.92</v>
      </c>
      <c r="K433" s="6">
        <v>20081.599999999999</v>
      </c>
      <c r="L433" s="6">
        <v>33772.01</v>
      </c>
      <c r="M433" s="6">
        <v>33772.01</v>
      </c>
      <c r="N433" s="7">
        <f t="shared" si="26"/>
        <v>316948.27</v>
      </c>
    </row>
    <row r="435" spans="1:15" ht="15.75" x14ac:dyDescent="0.25">
      <c r="A435" s="2" t="s">
        <v>55</v>
      </c>
    </row>
    <row r="436" spans="1:15" x14ac:dyDescent="0.25">
      <c r="A436" s="3" t="s">
        <v>2</v>
      </c>
      <c r="B436" s="4" t="s">
        <v>3</v>
      </c>
      <c r="C436" s="4" t="s">
        <v>4</v>
      </c>
      <c r="D436" s="4" t="s">
        <v>5</v>
      </c>
      <c r="E436" s="4" t="s">
        <v>6</v>
      </c>
      <c r="F436" s="4" t="s">
        <v>7</v>
      </c>
      <c r="G436" s="4" t="s">
        <v>8</v>
      </c>
      <c r="H436" s="4" t="s">
        <v>9</v>
      </c>
      <c r="I436" s="4" t="s">
        <v>10</v>
      </c>
      <c r="J436" s="4" t="s">
        <v>11</v>
      </c>
      <c r="K436" s="4" t="s">
        <v>12</v>
      </c>
      <c r="L436" s="4" t="s">
        <v>13</v>
      </c>
      <c r="M436" s="4" t="s">
        <v>14</v>
      </c>
      <c r="N436" s="4" t="s">
        <v>15</v>
      </c>
    </row>
    <row r="437" spans="1:15" x14ac:dyDescent="0.25">
      <c r="A437" s="5" t="s">
        <v>16</v>
      </c>
      <c r="B437" s="6">
        <v>4640.2700000000004</v>
      </c>
      <c r="C437" s="6">
        <v>4640.2700000000004</v>
      </c>
      <c r="D437" s="6">
        <v>4640.2700000000004</v>
      </c>
      <c r="E437" s="6">
        <v>4640.2700000000004</v>
      </c>
      <c r="F437" s="6">
        <v>4640.2700000000004</v>
      </c>
      <c r="G437" s="6">
        <v>4640.2700000000004</v>
      </c>
      <c r="H437" s="6">
        <v>4640.2700000000004</v>
      </c>
      <c r="I437" s="6">
        <v>4640.2700000000004</v>
      </c>
      <c r="J437" s="6">
        <v>4640.2700000000004</v>
      </c>
      <c r="K437" s="6">
        <v>4640.2700000000004</v>
      </c>
      <c r="L437" s="6">
        <v>4640.2700000000004</v>
      </c>
      <c r="M437" s="6">
        <v>4640.2700000000004</v>
      </c>
      <c r="N437" s="7">
        <f t="shared" ref="N437:N449" si="27">SUM(B437:M437)</f>
        <v>55683.24000000002</v>
      </c>
    </row>
    <row r="438" spans="1:15" x14ac:dyDescent="0.25">
      <c r="A438" s="8" t="s">
        <v>17</v>
      </c>
      <c r="B438" s="9">
        <v>8286.2000000000007</v>
      </c>
      <c r="C438" s="9">
        <v>8286.2000000000007</v>
      </c>
      <c r="D438" s="9">
        <v>8286.2000000000007</v>
      </c>
      <c r="E438" s="9">
        <v>8286.2000000000007</v>
      </c>
      <c r="F438" s="9">
        <v>8286.2000000000007</v>
      </c>
      <c r="G438" s="9">
        <v>8286.2000000000007</v>
      </c>
      <c r="H438" s="9">
        <v>8286.2000000000007</v>
      </c>
      <c r="I438" s="9">
        <v>8286.2000000000007</v>
      </c>
      <c r="J438" s="9">
        <v>8286.2000000000007</v>
      </c>
      <c r="K438" s="9">
        <v>8286.2000000000007</v>
      </c>
      <c r="L438" s="9">
        <v>8286.2000000000007</v>
      </c>
      <c r="M438" s="9">
        <v>8286.2000000000007</v>
      </c>
      <c r="N438" s="10">
        <f t="shared" si="27"/>
        <v>99434.39999999998</v>
      </c>
    </row>
    <row r="439" spans="1:15" x14ac:dyDescent="0.25">
      <c r="A439" s="8" t="s">
        <v>18</v>
      </c>
      <c r="B439" s="9">
        <v>1160.07</v>
      </c>
      <c r="C439" s="9">
        <v>1160.07</v>
      </c>
      <c r="D439" s="9">
        <v>1160.07</v>
      </c>
      <c r="E439" s="9">
        <v>1160.07</v>
      </c>
      <c r="F439" s="9">
        <v>1160.07</v>
      </c>
      <c r="G439" s="9">
        <v>1160.07</v>
      </c>
      <c r="H439" s="9">
        <v>1160.07</v>
      </c>
      <c r="I439" s="9">
        <v>1160.07</v>
      </c>
      <c r="J439" s="9">
        <v>1160.07</v>
      </c>
      <c r="K439" s="9">
        <v>1160.07</v>
      </c>
      <c r="L439" s="9">
        <v>1160.07</v>
      </c>
      <c r="M439" s="9">
        <v>1160.07</v>
      </c>
      <c r="N439" s="10">
        <f t="shared" si="27"/>
        <v>13920.839999999998</v>
      </c>
    </row>
    <row r="440" spans="1:15" x14ac:dyDescent="0.25">
      <c r="A440" s="8" t="s">
        <v>19</v>
      </c>
      <c r="B440" s="9">
        <v>7520</v>
      </c>
      <c r="C440" s="9">
        <v>7280</v>
      </c>
      <c r="D440" s="9">
        <v>7200</v>
      </c>
      <c r="E440" s="9">
        <v>7200</v>
      </c>
      <c r="F440" s="9">
        <v>7160</v>
      </c>
      <c r="G440" s="9">
        <v>7080</v>
      </c>
      <c r="H440" s="9">
        <v>7040</v>
      </c>
      <c r="I440" s="9">
        <v>7000</v>
      </c>
      <c r="J440" s="9">
        <v>7000</v>
      </c>
      <c r="K440" s="9">
        <v>7000</v>
      </c>
      <c r="L440" s="9">
        <v>7120</v>
      </c>
      <c r="M440" s="9">
        <v>7220</v>
      </c>
      <c r="N440" s="10">
        <f t="shared" si="27"/>
        <v>85820</v>
      </c>
      <c r="O440" s="12">
        <f>SUM(H440:M440)</f>
        <v>42380</v>
      </c>
    </row>
    <row r="441" spans="1:15" x14ac:dyDescent="0.25">
      <c r="A441" s="8" t="s">
        <v>20</v>
      </c>
      <c r="B441" s="9">
        <v>700</v>
      </c>
      <c r="C441" s="9">
        <v>700</v>
      </c>
      <c r="D441" s="9">
        <v>600</v>
      </c>
      <c r="E441" s="9">
        <v>600</v>
      </c>
      <c r="F441" s="9">
        <v>600</v>
      </c>
      <c r="G441" s="9">
        <v>600</v>
      </c>
      <c r="H441" s="9">
        <v>600</v>
      </c>
      <c r="I441" s="9">
        <v>600</v>
      </c>
      <c r="J441" s="9">
        <v>400</v>
      </c>
      <c r="K441" s="9">
        <v>500</v>
      </c>
      <c r="L441" s="9">
        <v>500</v>
      </c>
      <c r="M441" s="9">
        <v>500</v>
      </c>
      <c r="N441" s="10">
        <f t="shared" si="27"/>
        <v>6900</v>
      </c>
    </row>
    <row r="442" spans="1:15" x14ac:dyDescent="0.25">
      <c r="A442" s="8" t="s">
        <v>21</v>
      </c>
      <c r="B442" s="9">
        <v>5350.8</v>
      </c>
      <c r="C442" s="9">
        <v>5213.6000000000004</v>
      </c>
      <c r="D442" s="9">
        <v>5158.72</v>
      </c>
      <c r="E442" s="9">
        <v>5158.72</v>
      </c>
      <c r="F442" s="9">
        <v>5048.96</v>
      </c>
      <c r="G442" s="9">
        <v>4994.08</v>
      </c>
      <c r="H442" s="9">
        <v>4980.3599999999997</v>
      </c>
      <c r="I442" s="9">
        <v>5349.1</v>
      </c>
      <c r="J442" s="9">
        <v>5349.1</v>
      </c>
      <c r="K442" s="9">
        <v>5349.1</v>
      </c>
      <c r="L442" s="9">
        <v>5423.6</v>
      </c>
      <c r="M442" s="9">
        <v>5557.7</v>
      </c>
      <c r="N442" s="10">
        <f t="shared" si="27"/>
        <v>62933.84</v>
      </c>
      <c r="O442" s="12">
        <f>SUM(H442:M442)</f>
        <v>32008.960000000003</v>
      </c>
    </row>
    <row r="443" spans="1:15" x14ac:dyDescent="0.25">
      <c r="A443" s="8" t="s">
        <v>22</v>
      </c>
      <c r="B443" s="9">
        <v>864.36</v>
      </c>
      <c r="C443" s="9">
        <v>864.36</v>
      </c>
      <c r="D443" s="9">
        <v>740.88</v>
      </c>
      <c r="E443" s="9">
        <v>740.88</v>
      </c>
      <c r="F443" s="9">
        <v>740.88</v>
      </c>
      <c r="G443" s="9">
        <v>740.88</v>
      </c>
      <c r="H443" s="9">
        <v>740.88</v>
      </c>
      <c r="I443" s="9">
        <v>804.6</v>
      </c>
      <c r="J443" s="9">
        <v>536.4</v>
      </c>
      <c r="K443" s="9">
        <v>670.5</v>
      </c>
      <c r="L443" s="9">
        <v>670.5</v>
      </c>
      <c r="M443" s="9">
        <v>670.5</v>
      </c>
      <c r="N443" s="10">
        <f t="shared" si="27"/>
        <v>8785.619999999999</v>
      </c>
      <c r="O443" s="12"/>
    </row>
    <row r="444" spans="1:15" x14ac:dyDescent="0.25">
      <c r="A444" s="8" t="s">
        <v>23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>
        <f t="shared" si="27"/>
        <v>0</v>
      </c>
    </row>
    <row r="445" spans="1:15" x14ac:dyDescent="0.25">
      <c r="A445" s="8" t="s">
        <v>24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0">
        <f t="shared" si="27"/>
        <v>0</v>
      </c>
    </row>
    <row r="446" spans="1:15" x14ac:dyDescent="0.25">
      <c r="A446" s="5" t="s">
        <v>25</v>
      </c>
      <c r="B446" s="6">
        <v>23881.43</v>
      </c>
      <c r="C446" s="6">
        <v>23504.23</v>
      </c>
      <c r="D446" s="6">
        <v>23145.87</v>
      </c>
      <c r="E446" s="6">
        <v>23145.87</v>
      </c>
      <c r="F446" s="6">
        <v>22996.11</v>
      </c>
      <c r="G446" s="6">
        <v>22861.23</v>
      </c>
      <c r="H446" s="6">
        <v>0</v>
      </c>
      <c r="I446" s="6">
        <v>5888.85</v>
      </c>
      <c r="J446" s="6">
        <v>22731.77</v>
      </c>
      <c r="K446" s="6">
        <v>22965.87</v>
      </c>
      <c r="L446" s="6">
        <v>23160.37</v>
      </c>
      <c r="M446" s="6">
        <v>23394.47</v>
      </c>
      <c r="N446" s="7">
        <f t="shared" si="27"/>
        <v>237676.06999999998</v>
      </c>
    </row>
    <row r="447" spans="1:15" x14ac:dyDescent="0.25">
      <c r="A447" s="5" t="s">
        <v>26</v>
      </c>
      <c r="B447" s="6">
        <v>2520</v>
      </c>
      <c r="C447" s="6">
        <v>2520</v>
      </c>
      <c r="D447" s="6">
        <v>2460</v>
      </c>
      <c r="E447" s="6">
        <v>2460</v>
      </c>
      <c r="F447" s="6">
        <v>2340</v>
      </c>
      <c r="G447" s="6">
        <v>2340</v>
      </c>
      <c r="H447" s="6">
        <v>2340</v>
      </c>
      <c r="I447" s="6">
        <v>2340</v>
      </c>
      <c r="J447" s="6">
        <v>2340</v>
      </c>
      <c r="K447" s="6">
        <v>2340</v>
      </c>
      <c r="L447" s="6">
        <v>2340</v>
      </c>
      <c r="M447" s="6">
        <v>2340</v>
      </c>
      <c r="N447" s="7">
        <f t="shared" si="27"/>
        <v>28680</v>
      </c>
    </row>
    <row r="448" spans="1:15" x14ac:dyDescent="0.25">
      <c r="A448" s="5" t="s">
        <v>27</v>
      </c>
      <c r="B448" s="6">
        <v>1657.24</v>
      </c>
      <c r="C448" s="6">
        <v>1657.24</v>
      </c>
      <c r="D448" s="6">
        <v>1657.24</v>
      </c>
      <c r="E448" s="6">
        <v>1657.24</v>
      </c>
      <c r="F448" s="6">
        <v>1657.24</v>
      </c>
      <c r="G448" s="6">
        <v>4971.72</v>
      </c>
      <c r="H448" s="6">
        <v>3314.48</v>
      </c>
      <c r="I448" s="6">
        <v>3314.48</v>
      </c>
      <c r="J448" s="6">
        <v>3314.48</v>
      </c>
      <c r="K448" s="6">
        <v>3314.48</v>
      </c>
      <c r="L448" s="6">
        <v>3314.48</v>
      </c>
      <c r="M448" s="6">
        <v>3314.48</v>
      </c>
      <c r="N448" s="7">
        <f t="shared" si="27"/>
        <v>33144.800000000003</v>
      </c>
    </row>
    <row r="449" spans="1:15" x14ac:dyDescent="0.25">
      <c r="A449" s="5" t="s">
        <v>28</v>
      </c>
      <c r="B449" s="6">
        <v>32698.94</v>
      </c>
      <c r="C449" s="6">
        <v>32321.74</v>
      </c>
      <c r="D449" s="6">
        <v>31903.38</v>
      </c>
      <c r="E449" s="6">
        <v>31903.38</v>
      </c>
      <c r="F449" s="6">
        <v>31633.62</v>
      </c>
      <c r="G449" s="6">
        <v>15266.47</v>
      </c>
      <c r="H449" s="6">
        <v>10294.75</v>
      </c>
      <c r="I449" s="6">
        <v>16183.6</v>
      </c>
      <c r="J449" s="6">
        <v>7741.82</v>
      </c>
      <c r="K449" s="6">
        <v>33260.620000000003</v>
      </c>
      <c r="L449" s="6">
        <v>33455.120000000003</v>
      </c>
      <c r="M449" s="6">
        <v>33689.22</v>
      </c>
      <c r="N449" s="7">
        <f t="shared" si="27"/>
        <v>310352.66000000003</v>
      </c>
    </row>
    <row r="451" spans="1:15" ht="15.75" x14ac:dyDescent="0.25">
      <c r="A451" s="2" t="s">
        <v>56</v>
      </c>
    </row>
    <row r="452" spans="1:15" x14ac:dyDescent="0.25">
      <c r="A452" s="3" t="s">
        <v>2</v>
      </c>
      <c r="B452" s="4" t="s">
        <v>3</v>
      </c>
      <c r="C452" s="4" t="s">
        <v>4</v>
      </c>
      <c r="D452" s="4" t="s">
        <v>5</v>
      </c>
      <c r="E452" s="4" t="s">
        <v>6</v>
      </c>
      <c r="F452" s="4" t="s">
        <v>7</v>
      </c>
      <c r="G452" s="4" t="s">
        <v>8</v>
      </c>
      <c r="H452" s="4" t="s">
        <v>9</v>
      </c>
      <c r="I452" s="4" t="s">
        <v>10</v>
      </c>
      <c r="J452" s="4" t="s">
        <v>11</v>
      </c>
      <c r="K452" s="4" t="s">
        <v>12</v>
      </c>
      <c r="L452" s="4" t="s">
        <v>13</v>
      </c>
      <c r="M452" s="4" t="s">
        <v>14</v>
      </c>
      <c r="N452" s="4" t="s">
        <v>15</v>
      </c>
    </row>
    <row r="453" spans="1:15" x14ac:dyDescent="0.25">
      <c r="A453" s="5" t="s">
        <v>16</v>
      </c>
      <c r="B453" s="6">
        <v>5367.33</v>
      </c>
      <c r="C453" s="6">
        <v>5367.33</v>
      </c>
      <c r="D453" s="6">
        <v>5367.33</v>
      </c>
      <c r="E453" s="6">
        <v>5367.33</v>
      </c>
      <c r="F453" s="6">
        <v>5367.33</v>
      </c>
      <c r="G453" s="6">
        <v>5367.33</v>
      </c>
      <c r="H453" s="6">
        <v>5367.33</v>
      </c>
      <c r="I453" s="6">
        <v>5367.33</v>
      </c>
      <c r="J453" s="6">
        <v>5367.33</v>
      </c>
      <c r="K453" s="6">
        <v>5367.33</v>
      </c>
      <c r="L453" s="6">
        <v>5367.33</v>
      </c>
      <c r="M453" s="6">
        <v>5367.33</v>
      </c>
      <c r="N453" s="7">
        <f t="shared" ref="N453:N465" si="28">SUM(B453:M453)</f>
        <v>64407.960000000014</v>
      </c>
    </row>
    <row r="454" spans="1:15" x14ac:dyDescent="0.25">
      <c r="A454" s="8" t="s">
        <v>17</v>
      </c>
      <c r="B454" s="9">
        <v>10734.65</v>
      </c>
      <c r="C454" s="9">
        <v>10734.65</v>
      </c>
      <c r="D454" s="9">
        <v>10734.65</v>
      </c>
      <c r="E454" s="9">
        <v>10734.65</v>
      </c>
      <c r="F454" s="9">
        <v>10734.65</v>
      </c>
      <c r="G454" s="9">
        <v>10734.65</v>
      </c>
      <c r="H454" s="9">
        <v>10734.65</v>
      </c>
      <c r="I454" s="9">
        <v>10734.65</v>
      </c>
      <c r="J454" s="9">
        <v>10734.65</v>
      </c>
      <c r="K454" s="9">
        <v>10734.65</v>
      </c>
      <c r="L454" s="9">
        <v>10734.65</v>
      </c>
      <c r="M454" s="9">
        <v>10734.65</v>
      </c>
      <c r="N454" s="10">
        <f t="shared" si="28"/>
        <v>128815.79999999997</v>
      </c>
    </row>
    <row r="455" spans="1:15" x14ac:dyDescent="0.25">
      <c r="A455" s="8" t="s">
        <v>18</v>
      </c>
      <c r="B455" s="9">
        <v>1502.85</v>
      </c>
      <c r="C455" s="9">
        <v>1502.85</v>
      </c>
      <c r="D455" s="9">
        <v>1502.85</v>
      </c>
      <c r="E455" s="9">
        <v>1502.85</v>
      </c>
      <c r="F455" s="9">
        <v>1502.85</v>
      </c>
      <c r="G455" s="9">
        <v>1502.85</v>
      </c>
      <c r="H455" s="9">
        <v>1502.85</v>
      </c>
      <c r="I455" s="9">
        <v>1502.85</v>
      </c>
      <c r="J455" s="9">
        <v>1502.85</v>
      </c>
      <c r="K455" s="9">
        <v>1502.85</v>
      </c>
      <c r="L455" s="9">
        <v>1502.85</v>
      </c>
      <c r="M455" s="9">
        <v>1502.85</v>
      </c>
      <c r="N455" s="10">
        <f t="shared" si="28"/>
        <v>18034.2</v>
      </c>
    </row>
    <row r="456" spans="1:15" x14ac:dyDescent="0.25">
      <c r="A456" s="8" t="s">
        <v>19</v>
      </c>
      <c r="B456" s="9">
        <v>8476</v>
      </c>
      <c r="C456" s="9">
        <v>8396</v>
      </c>
      <c r="D456" s="9">
        <v>8396</v>
      </c>
      <c r="E456" s="9">
        <v>8396</v>
      </c>
      <c r="F456" s="9">
        <v>8396</v>
      </c>
      <c r="G456" s="9">
        <v>8396</v>
      </c>
      <c r="H456" s="9">
        <v>8396</v>
      </c>
      <c r="I456" s="9">
        <v>8556</v>
      </c>
      <c r="J456" s="9">
        <v>8436</v>
      </c>
      <c r="K456" s="9">
        <v>8816</v>
      </c>
      <c r="L456" s="9">
        <v>8976</v>
      </c>
      <c r="M456" s="9">
        <v>8896</v>
      </c>
      <c r="N456" s="10">
        <f t="shared" si="28"/>
        <v>102532</v>
      </c>
      <c r="O456" s="12">
        <f>SUM(H456:M456)</f>
        <v>52076</v>
      </c>
    </row>
    <row r="457" spans="1:15" x14ac:dyDescent="0.25">
      <c r="A457" s="8" t="s">
        <v>20</v>
      </c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0">
        <f t="shared" si="28"/>
        <v>0</v>
      </c>
    </row>
    <row r="458" spans="1:15" x14ac:dyDescent="0.25">
      <c r="A458" s="8" t="s">
        <v>21</v>
      </c>
      <c r="B458" s="9">
        <v>5714.38</v>
      </c>
      <c r="C458" s="9">
        <v>5673.22</v>
      </c>
      <c r="D458" s="9">
        <v>5673.22</v>
      </c>
      <c r="E458" s="9">
        <v>5673.22</v>
      </c>
      <c r="F458" s="9">
        <v>5673.22</v>
      </c>
      <c r="G458" s="9">
        <v>5673.22</v>
      </c>
      <c r="H458" s="9">
        <v>5673.22</v>
      </c>
      <c r="I458" s="9">
        <v>6250.55</v>
      </c>
      <c r="J458" s="9">
        <v>6190.95</v>
      </c>
      <c r="K458" s="9">
        <v>6399.55</v>
      </c>
      <c r="L458" s="9">
        <v>6488.95</v>
      </c>
      <c r="M458" s="9">
        <v>6444.25</v>
      </c>
      <c r="N458" s="10">
        <f t="shared" si="28"/>
        <v>71527.950000000012</v>
      </c>
      <c r="O458" s="12">
        <f>SUM(H458:M458)</f>
        <v>37447.47</v>
      </c>
    </row>
    <row r="459" spans="1:15" x14ac:dyDescent="0.25">
      <c r="A459" s="8" t="s">
        <v>22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0">
        <f t="shared" si="28"/>
        <v>0</v>
      </c>
    </row>
    <row r="460" spans="1:15" x14ac:dyDescent="0.25">
      <c r="A460" s="8" t="s">
        <v>23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>
        <f t="shared" si="28"/>
        <v>0</v>
      </c>
    </row>
    <row r="461" spans="1:15" x14ac:dyDescent="0.25">
      <c r="A461" s="8" t="s">
        <v>24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0">
        <f t="shared" si="28"/>
        <v>0</v>
      </c>
    </row>
    <row r="462" spans="1:15" x14ac:dyDescent="0.25">
      <c r="A462" s="5" t="s">
        <v>25</v>
      </c>
      <c r="B462" s="6">
        <v>26427.88</v>
      </c>
      <c r="C462" s="6">
        <v>26306.720000000001</v>
      </c>
      <c r="D462" s="6">
        <v>26306.720000000001</v>
      </c>
      <c r="E462" s="6">
        <v>26306.720000000001</v>
      </c>
      <c r="F462" s="6">
        <v>26306.720000000001</v>
      </c>
      <c r="G462" s="6">
        <v>26306.720000000001</v>
      </c>
      <c r="H462" s="6">
        <v>17591.84</v>
      </c>
      <c r="I462" s="6">
        <v>27044.05</v>
      </c>
      <c r="J462" s="6">
        <v>26864.45</v>
      </c>
      <c r="K462" s="6">
        <v>-4347.95</v>
      </c>
      <c r="L462" s="6">
        <v>27702.45</v>
      </c>
      <c r="M462" s="6">
        <v>27577.75</v>
      </c>
      <c r="N462" s="7">
        <f t="shared" si="28"/>
        <v>280394.07</v>
      </c>
    </row>
    <row r="463" spans="1:15" x14ac:dyDescent="0.25">
      <c r="A463" s="5" t="s">
        <v>26</v>
      </c>
      <c r="B463" s="6">
        <v>2880</v>
      </c>
      <c r="C463" s="6">
        <v>2820</v>
      </c>
      <c r="D463" s="6">
        <v>2820</v>
      </c>
      <c r="E463" s="6">
        <v>2820</v>
      </c>
      <c r="F463" s="6">
        <v>2820</v>
      </c>
      <c r="G463" s="6">
        <v>2820</v>
      </c>
      <c r="H463" s="6">
        <v>2820</v>
      </c>
      <c r="I463" s="6">
        <v>2880</v>
      </c>
      <c r="J463" s="6">
        <v>2880</v>
      </c>
      <c r="K463" s="6">
        <v>3000</v>
      </c>
      <c r="L463" s="6">
        <v>3060</v>
      </c>
      <c r="M463" s="6">
        <v>3060</v>
      </c>
      <c r="N463" s="7">
        <f t="shared" si="28"/>
        <v>34680</v>
      </c>
    </row>
    <row r="464" spans="1:15" x14ac:dyDescent="0.25">
      <c r="A464" s="5" t="s">
        <v>27</v>
      </c>
      <c r="B464" s="6">
        <v>4293.8599999999997</v>
      </c>
      <c r="C464" s="6">
        <v>4293.8599999999997</v>
      </c>
      <c r="D464" s="6">
        <v>4293.8599999999997</v>
      </c>
      <c r="E464" s="6">
        <v>4293.8599999999997</v>
      </c>
      <c r="F464" s="6">
        <v>4293.8599999999997</v>
      </c>
      <c r="G464" s="6">
        <v>4293.8599999999997</v>
      </c>
      <c r="H464" s="6">
        <v>4293.8599999999997</v>
      </c>
      <c r="I464" s="6">
        <v>4293.8599999999997</v>
      </c>
      <c r="J464" s="6">
        <v>4293.8599999999997</v>
      </c>
      <c r="K464" s="6">
        <v>4293.8599999999997</v>
      </c>
      <c r="L464" s="6">
        <v>4293.8599999999997</v>
      </c>
      <c r="M464" s="6">
        <v>4293.8599999999997</v>
      </c>
      <c r="N464" s="7">
        <f t="shared" si="28"/>
        <v>51526.32</v>
      </c>
    </row>
    <row r="465" spans="1:15" x14ac:dyDescent="0.25">
      <c r="A465" s="5" t="s">
        <v>28</v>
      </c>
      <c r="B465" s="6">
        <v>38969.07</v>
      </c>
      <c r="C465" s="6">
        <v>38787.910000000003</v>
      </c>
      <c r="D465" s="6">
        <v>38787.910000000003</v>
      </c>
      <c r="E465" s="6">
        <v>38787.910000000003</v>
      </c>
      <c r="F465" s="6">
        <v>12881.47</v>
      </c>
      <c r="G465" s="6">
        <v>12481.19</v>
      </c>
      <c r="H465" s="6">
        <v>30073.03</v>
      </c>
      <c r="I465" s="6">
        <v>39585.24</v>
      </c>
      <c r="J465" s="6">
        <v>39405.64</v>
      </c>
      <c r="K465" s="6">
        <v>8313.24</v>
      </c>
      <c r="L465" s="6">
        <v>40423.64</v>
      </c>
      <c r="M465" s="6">
        <v>40298.94</v>
      </c>
      <c r="N465" s="7">
        <f t="shared" si="28"/>
        <v>378795.19</v>
      </c>
    </row>
    <row r="467" spans="1:15" ht="15.75" x14ac:dyDescent="0.25">
      <c r="A467" s="2" t="s">
        <v>57</v>
      </c>
    </row>
    <row r="468" spans="1:15" x14ac:dyDescent="0.25">
      <c r="A468" s="3" t="s">
        <v>2</v>
      </c>
      <c r="B468" s="4" t="s">
        <v>3</v>
      </c>
      <c r="C468" s="4" t="s">
        <v>4</v>
      </c>
      <c r="D468" s="4" t="s">
        <v>5</v>
      </c>
      <c r="E468" s="4" t="s">
        <v>6</v>
      </c>
      <c r="F468" s="4" t="s">
        <v>7</v>
      </c>
      <c r="G468" s="4" t="s">
        <v>8</v>
      </c>
      <c r="H468" s="4" t="s">
        <v>9</v>
      </c>
      <c r="I468" s="4" t="s">
        <v>10</v>
      </c>
      <c r="J468" s="4" t="s">
        <v>11</v>
      </c>
      <c r="K468" s="4" t="s">
        <v>12</v>
      </c>
      <c r="L468" s="4" t="s">
        <v>13</v>
      </c>
      <c r="M468" s="4" t="s">
        <v>14</v>
      </c>
      <c r="N468" s="4" t="s">
        <v>15</v>
      </c>
    </row>
    <row r="469" spans="1:15" x14ac:dyDescent="0.25">
      <c r="A469" s="5" t="s">
        <v>16</v>
      </c>
      <c r="B469" s="6">
        <v>3192.83</v>
      </c>
      <c r="C469" s="6">
        <v>3192.83</v>
      </c>
      <c r="D469" s="6">
        <v>3192.83</v>
      </c>
      <c r="E469" s="6">
        <v>3192.83</v>
      </c>
      <c r="F469" s="6">
        <v>3192.83</v>
      </c>
      <c r="G469" s="6">
        <v>3192.83</v>
      </c>
      <c r="H469" s="6">
        <v>3192.83</v>
      </c>
      <c r="I469" s="6">
        <v>3192.83</v>
      </c>
      <c r="J469" s="6">
        <v>3192.83</v>
      </c>
      <c r="K469" s="6">
        <v>3192.83</v>
      </c>
      <c r="L469" s="6">
        <v>3192.83</v>
      </c>
      <c r="M469" s="6">
        <v>3192.83</v>
      </c>
      <c r="N469" s="7">
        <f t="shared" ref="N469:N481" si="29">SUM(B469:M469)</f>
        <v>38313.960000000006</v>
      </c>
    </row>
    <row r="470" spans="1:15" x14ac:dyDescent="0.25">
      <c r="A470" s="8" t="s">
        <v>17</v>
      </c>
      <c r="B470" s="9">
        <v>5321.39</v>
      </c>
      <c r="C470" s="9">
        <v>5321.39</v>
      </c>
      <c r="D470" s="9">
        <v>5321.39</v>
      </c>
      <c r="E470" s="9">
        <v>5321.39</v>
      </c>
      <c r="F470" s="9">
        <v>5321.39</v>
      </c>
      <c r="G470" s="9">
        <v>5321.39</v>
      </c>
      <c r="H470" s="9">
        <v>5321.39</v>
      </c>
      <c r="I470" s="9">
        <v>5321.39</v>
      </c>
      <c r="J470" s="9">
        <v>5321.39</v>
      </c>
      <c r="K470" s="9">
        <v>5321.39</v>
      </c>
      <c r="L470" s="9">
        <v>5321.39</v>
      </c>
      <c r="M470" s="9">
        <v>5321.39</v>
      </c>
      <c r="N470" s="10">
        <f t="shared" si="29"/>
        <v>63856.68</v>
      </c>
    </row>
    <row r="471" spans="1:15" x14ac:dyDescent="0.25">
      <c r="A471" s="8" t="s">
        <v>18</v>
      </c>
      <c r="B471" s="9">
        <v>827.77</v>
      </c>
      <c r="C471" s="9">
        <v>827.77</v>
      </c>
      <c r="D471" s="9">
        <v>827.77</v>
      </c>
      <c r="E471" s="9">
        <v>827.77</v>
      </c>
      <c r="F471" s="9">
        <v>827.77</v>
      </c>
      <c r="G471" s="9">
        <v>827.77</v>
      </c>
      <c r="H471" s="9">
        <v>827.77</v>
      </c>
      <c r="I471" s="9">
        <v>827.77</v>
      </c>
      <c r="J471" s="9">
        <v>827.77</v>
      </c>
      <c r="K471" s="9">
        <v>827.77</v>
      </c>
      <c r="L471" s="9">
        <v>827.77</v>
      </c>
      <c r="M471" s="9">
        <v>827.77</v>
      </c>
      <c r="N471" s="10">
        <f t="shared" si="29"/>
        <v>9933.2400000000034</v>
      </c>
    </row>
    <row r="472" spans="1:15" x14ac:dyDescent="0.25">
      <c r="A472" s="8" t="s">
        <v>19</v>
      </c>
      <c r="B472" s="9">
        <v>5000</v>
      </c>
      <c r="C472" s="9">
        <v>5000</v>
      </c>
      <c r="D472" s="9">
        <v>5000</v>
      </c>
      <c r="E472" s="9">
        <v>5240</v>
      </c>
      <c r="F472" s="9">
        <v>5240</v>
      </c>
      <c r="G472" s="9">
        <v>5560</v>
      </c>
      <c r="H472" s="9">
        <v>5560</v>
      </c>
      <c r="I472" s="9">
        <v>5560</v>
      </c>
      <c r="J472" s="9">
        <v>5560</v>
      </c>
      <c r="K472" s="9">
        <v>5560</v>
      </c>
      <c r="L472" s="9">
        <v>5560</v>
      </c>
      <c r="M472" s="9">
        <v>5560</v>
      </c>
      <c r="N472" s="10">
        <f t="shared" si="29"/>
        <v>64400</v>
      </c>
      <c r="O472" s="12">
        <f>SUM(H472:M472)</f>
        <v>33360</v>
      </c>
    </row>
    <row r="473" spans="1:15" x14ac:dyDescent="0.25">
      <c r="A473" s="8" t="s">
        <v>20</v>
      </c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0">
        <f t="shared" si="29"/>
        <v>0</v>
      </c>
    </row>
    <row r="474" spans="1:15" x14ac:dyDescent="0.25">
      <c r="A474" s="8" t="s">
        <v>21</v>
      </c>
      <c r="B474" s="9">
        <v>3292.8</v>
      </c>
      <c r="C474" s="9">
        <v>3292.8</v>
      </c>
      <c r="D474" s="9">
        <v>3292.8</v>
      </c>
      <c r="E474" s="9">
        <v>3416.28</v>
      </c>
      <c r="F474" s="9">
        <v>3416.28</v>
      </c>
      <c r="G474" s="9">
        <v>3580.92</v>
      </c>
      <c r="H474" s="9">
        <v>3580.92</v>
      </c>
      <c r="I474" s="9">
        <v>3888.9</v>
      </c>
      <c r="J474" s="9">
        <v>3888.9</v>
      </c>
      <c r="K474" s="9">
        <v>3888.9</v>
      </c>
      <c r="L474" s="9">
        <v>3888.9</v>
      </c>
      <c r="M474" s="9">
        <v>3888.9</v>
      </c>
      <c r="N474" s="10">
        <f t="shared" si="29"/>
        <v>43317.30000000001</v>
      </c>
      <c r="O474" s="12">
        <f>SUM(H474:M474)</f>
        <v>23025.420000000002</v>
      </c>
    </row>
    <row r="475" spans="1:15" x14ac:dyDescent="0.25">
      <c r="A475" s="8" t="s">
        <v>22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0">
        <f t="shared" si="29"/>
        <v>0</v>
      </c>
    </row>
    <row r="476" spans="1:15" x14ac:dyDescent="0.25">
      <c r="A476" s="8" t="s">
        <v>23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0">
        <f t="shared" si="29"/>
        <v>0</v>
      </c>
    </row>
    <row r="477" spans="1:15" x14ac:dyDescent="0.25">
      <c r="A477" s="8" t="s">
        <v>24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0">
        <f t="shared" si="29"/>
        <v>0</v>
      </c>
    </row>
    <row r="478" spans="1:15" x14ac:dyDescent="0.25">
      <c r="A478" s="5" t="s">
        <v>25</v>
      </c>
      <c r="B478" s="6">
        <v>14441.96</v>
      </c>
      <c r="C478" s="6">
        <v>14441.96</v>
      </c>
      <c r="D478" s="6">
        <v>14441.96</v>
      </c>
      <c r="E478" s="6">
        <v>14805.44</v>
      </c>
      <c r="F478" s="6">
        <v>14805.44</v>
      </c>
      <c r="G478" s="6">
        <v>15290.08</v>
      </c>
      <c r="H478" s="6">
        <v>15290.08</v>
      </c>
      <c r="I478" s="6">
        <v>15598.06</v>
      </c>
      <c r="J478" s="6">
        <v>15598.06</v>
      </c>
      <c r="K478" s="6">
        <v>11420.38</v>
      </c>
      <c r="L478" s="6">
        <v>15598.06</v>
      </c>
      <c r="M478" s="6">
        <v>15598.06</v>
      </c>
      <c r="N478" s="7">
        <f t="shared" si="29"/>
        <v>177329.54</v>
      </c>
    </row>
    <row r="479" spans="1:15" x14ac:dyDescent="0.25">
      <c r="A479" s="5" t="s">
        <v>26</v>
      </c>
      <c r="B479" s="6">
        <v>1680</v>
      </c>
      <c r="C479" s="6">
        <v>1680</v>
      </c>
      <c r="D479" s="6">
        <v>1680</v>
      </c>
      <c r="E479" s="6">
        <v>1740</v>
      </c>
      <c r="F479" s="6">
        <v>1740</v>
      </c>
      <c r="G479" s="6">
        <v>1800</v>
      </c>
      <c r="H479" s="6">
        <v>1800</v>
      </c>
      <c r="I479" s="6">
        <v>1800</v>
      </c>
      <c r="J479" s="6">
        <v>1800</v>
      </c>
      <c r="K479" s="6">
        <v>1800</v>
      </c>
      <c r="L479" s="6">
        <v>1800</v>
      </c>
      <c r="M479" s="6">
        <v>1800</v>
      </c>
      <c r="N479" s="7">
        <f t="shared" si="29"/>
        <v>21120</v>
      </c>
    </row>
    <row r="480" spans="1:15" x14ac:dyDescent="0.25">
      <c r="A480" s="5" t="s">
        <v>27</v>
      </c>
      <c r="B480" s="6">
        <v>2956.33</v>
      </c>
      <c r="C480" s="6">
        <v>2956.33</v>
      </c>
      <c r="D480" s="6">
        <v>2956.33</v>
      </c>
      <c r="E480" s="6">
        <v>2956.33</v>
      </c>
      <c r="F480" s="6">
        <v>2956.33</v>
      </c>
      <c r="G480" s="6">
        <v>2956.33</v>
      </c>
      <c r="H480" s="6">
        <v>4730.12</v>
      </c>
      <c r="I480" s="6">
        <v>3311.08</v>
      </c>
      <c r="J480" s="6">
        <v>3311.08</v>
      </c>
      <c r="K480" s="6">
        <v>3311.08</v>
      </c>
      <c r="L480" s="6">
        <v>3311.08</v>
      </c>
      <c r="M480" s="6">
        <v>3311.08</v>
      </c>
      <c r="N480" s="7">
        <f t="shared" si="29"/>
        <v>39023.500000000007</v>
      </c>
    </row>
    <row r="481" spans="1:14" x14ac:dyDescent="0.25">
      <c r="A481" s="5" t="s">
        <v>28</v>
      </c>
      <c r="B481" s="6">
        <v>22271.119999999999</v>
      </c>
      <c r="C481" s="6">
        <v>22271.119999999999</v>
      </c>
      <c r="D481" s="6">
        <v>22271.119999999999</v>
      </c>
      <c r="E481" s="6">
        <v>22694.6</v>
      </c>
      <c r="F481" s="6">
        <v>7889.16</v>
      </c>
      <c r="G481" s="6">
        <v>10956.89</v>
      </c>
      <c r="H481" s="6">
        <v>25013.03</v>
      </c>
      <c r="I481" s="6">
        <v>23901.97</v>
      </c>
      <c r="J481" s="6">
        <v>8303.91</v>
      </c>
      <c r="K481" s="6">
        <v>19724.29</v>
      </c>
      <c r="L481" s="6">
        <v>23901.97</v>
      </c>
      <c r="M481" s="6">
        <v>23901.97</v>
      </c>
      <c r="N481" s="7">
        <f t="shared" si="29"/>
        <v>233101.15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Podsumowanie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2026-04-21T14:02:01Z</dcterms:created>
  <dcterms:modified xsi:type="dcterms:W3CDTF">2026-05-05T15:04:44Z</dcterms:modified>
  <cp:category/>
</cp:coreProperties>
</file>